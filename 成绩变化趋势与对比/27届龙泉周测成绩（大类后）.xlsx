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400" windowHeight="10080" activeTab="7"/>
  </bookViews>
  <sheets>
    <sheet name="一类" sheetId="1" r:id="rId1"/>
    <sheet name="三类1" sheetId="4" r:id="rId2"/>
    <sheet name="三类2" sheetId="5" r:id="rId3"/>
    <sheet name="三类3" sheetId="6" r:id="rId4"/>
    <sheet name="六类" sheetId="10" r:id="rId5"/>
    <sheet name="九类一" sheetId="13" r:id="rId6"/>
    <sheet name="九类二" sheetId="14" r:id="rId7"/>
    <sheet name="十类" sheetId="1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<sst xmlns="http://schemas.openxmlformats.org/spreadsheetml/2006/main" count="508" uniqueCount="326">
  <si>
    <t>8.8周测</t>
  </si>
  <si>
    <t>8.15周测</t>
  </si>
  <si>
    <t>8.22周测</t>
  </si>
  <si>
    <t>姓名</t>
  </si>
  <si>
    <t>语文</t>
  </si>
  <si>
    <t>数学</t>
  </si>
  <si>
    <t>信息技术</t>
  </si>
  <si>
    <t>物理</t>
  </si>
  <si>
    <t>地理</t>
  </si>
  <si>
    <t>职总</t>
  </si>
  <si>
    <t>总分</t>
  </si>
  <si>
    <t>安一航</t>
  </si>
  <si>
    <t>段家君</t>
  </si>
  <si>
    <t>高伟程</t>
  </si>
  <si>
    <t>郭泽宇</t>
  </si>
  <si>
    <t>郭泽昊</t>
  </si>
  <si>
    <t>韩文杰</t>
  </si>
  <si>
    <t>李红阳</t>
  </si>
  <si>
    <t>李金昊</t>
  </si>
  <si>
    <t>连奕程</t>
  </si>
  <si>
    <t>刘福禄</t>
  </si>
  <si>
    <t>吕泽晨</t>
  </si>
  <si>
    <t>彭一鸣</t>
  </si>
  <si>
    <t>秦梓诚</t>
  </si>
  <si>
    <t>任柯霖</t>
  </si>
  <si>
    <t>王佳一</t>
  </si>
  <si>
    <t>王睿诚</t>
  </si>
  <si>
    <t>王泽宇</t>
  </si>
  <si>
    <t>王子航</t>
  </si>
  <si>
    <t>王子帅</t>
  </si>
  <si>
    <t>吴浩尊</t>
  </si>
  <si>
    <t>武彦霖</t>
  </si>
  <si>
    <t>项帝</t>
  </si>
  <si>
    <t>姚心诚</t>
  </si>
  <si>
    <t>张佳硕</t>
  </si>
  <si>
    <t>张嘉谦</t>
  </si>
  <si>
    <t>张阔田</t>
  </si>
  <si>
    <t>朱张晴</t>
  </si>
  <si>
    <t>政治</t>
  </si>
  <si>
    <t>王旭瑞</t>
  </si>
  <si>
    <t>杜旭阳</t>
  </si>
  <si>
    <t>李恩赐</t>
  </si>
  <si>
    <t>赵钧钦</t>
  </si>
  <si>
    <t>刘晓楠</t>
  </si>
  <si>
    <t>董谨毅</t>
  </si>
  <si>
    <t>孙涵哲</t>
  </si>
  <si>
    <t>杜靖</t>
  </si>
  <si>
    <t>刘晓键</t>
  </si>
  <si>
    <t>罗谢宇</t>
  </si>
  <si>
    <t>牛文博</t>
  </si>
  <si>
    <t>张旭</t>
  </si>
  <si>
    <t>段青泽</t>
  </si>
  <si>
    <t>陈佳雨</t>
  </si>
  <si>
    <t>李嘉兴</t>
  </si>
  <si>
    <t>王俊涛</t>
  </si>
  <si>
    <t>门佳轩</t>
  </si>
  <si>
    <t>王海鹏</t>
  </si>
  <si>
    <t>王文博</t>
  </si>
  <si>
    <t>赵轩</t>
  </si>
  <si>
    <t>刘志瑞</t>
  </si>
  <si>
    <t>赵祎天</t>
  </si>
  <si>
    <t>李旭</t>
  </si>
  <si>
    <t>孙康</t>
  </si>
  <si>
    <t>刘志刚</t>
  </si>
  <si>
    <t>徐喜浩</t>
  </si>
  <si>
    <t>周一鸣</t>
  </si>
  <si>
    <t>史佳辉</t>
  </si>
  <si>
    <t>马宁</t>
  </si>
  <si>
    <r>
      <rPr>
        <sz val="12"/>
        <color rgb="FF000000"/>
        <rFont val="微软雅黑"/>
        <charset val="134"/>
      </rPr>
      <t>罗正和</t>
    </r>
    <r>
      <rPr>
        <sz val="12"/>
        <color rgb="FF000000"/>
        <rFont val="微软雅黑"/>
        <charset val="134"/>
      </rPr>
      <t xml:space="preserve"> </t>
    </r>
  </si>
  <si>
    <t>司佳松</t>
  </si>
  <si>
    <t>李孟尚</t>
  </si>
  <si>
    <t>何旭杰</t>
  </si>
  <si>
    <t>马子杰</t>
  </si>
  <si>
    <t>王正铂</t>
  </si>
  <si>
    <t>孙海钦</t>
  </si>
  <si>
    <t>赵家豪</t>
  </si>
  <si>
    <t>樊奥博</t>
  </si>
  <si>
    <t>李梓畅</t>
  </si>
  <si>
    <t>泰梓钊</t>
  </si>
  <si>
    <t>罗嘉祥</t>
  </si>
  <si>
    <t>崔家豪</t>
  </si>
  <si>
    <t>许墨涵</t>
  </si>
  <si>
    <t>李晨睿</t>
  </si>
  <si>
    <t>周佳永</t>
  </si>
  <si>
    <t>贾浩楠</t>
  </si>
  <si>
    <t>李浩楠</t>
  </si>
  <si>
    <t>庞煜晓</t>
  </si>
  <si>
    <t xml:space="preserve">赵鑫哲 </t>
  </si>
  <si>
    <t>张敏</t>
  </si>
  <si>
    <t>康书锐</t>
  </si>
  <si>
    <t>郭晓嘉</t>
  </si>
  <si>
    <t>赵泽国</t>
  </si>
  <si>
    <t>王佟铄</t>
  </si>
  <si>
    <t>曹锦琦</t>
  </si>
  <si>
    <t>孙佩麒</t>
  </si>
  <si>
    <t>段云龙</t>
  </si>
  <si>
    <t>刘柯</t>
  </si>
  <si>
    <t>焦文硕</t>
  </si>
  <si>
    <t>张锐</t>
  </si>
  <si>
    <t xml:space="preserve">梁津睿 </t>
  </si>
  <si>
    <t>李嘉诚</t>
  </si>
  <si>
    <t>贾学磊</t>
  </si>
  <si>
    <t>陈海洋</t>
  </si>
  <si>
    <t>侯相帅</t>
  </si>
  <si>
    <t>申子墨</t>
  </si>
  <si>
    <t>封皓天</t>
  </si>
  <si>
    <t>李昊</t>
  </si>
  <si>
    <t>穆哲茂</t>
  </si>
  <si>
    <t>张洪铭</t>
  </si>
  <si>
    <t>孟垚旭</t>
  </si>
  <si>
    <t>马天阔</t>
  </si>
  <si>
    <t>霍禹冰</t>
  </si>
  <si>
    <t>曹文博</t>
  </si>
  <si>
    <t>霍鹏杰</t>
  </si>
  <si>
    <t>王钲雯</t>
  </si>
  <si>
    <t>高士杰</t>
  </si>
  <si>
    <t>武佳鸣</t>
  </si>
  <si>
    <t>周怡腾</t>
  </si>
  <si>
    <t>路文森</t>
  </si>
  <si>
    <t>祁志丞</t>
  </si>
  <si>
    <t>杨杰</t>
  </si>
  <si>
    <t>张鑫宇</t>
  </si>
  <si>
    <t>乔宇航</t>
  </si>
  <si>
    <t>李郝佳</t>
  </si>
  <si>
    <t>田昊</t>
  </si>
  <si>
    <t>胡浩彬</t>
  </si>
  <si>
    <t>崔毅</t>
  </si>
  <si>
    <t>庞博睿</t>
  </si>
  <si>
    <t>李炫朴</t>
  </si>
  <si>
    <t>程若栩</t>
  </si>
  <si>
    <t>赵昕博</t>
  </si>
  <si>
    <t>郭子昊</t>
  </si>
  <si>
    <t>张正浩</t>
  </si>
  <si>
    <t>闫炜中</t>
  </si>
  <si>
    <t>石宇</t>
  </si>
  <si>
    <t>陈亚博</t>
  </si>
  <si>
    <t>吴紫航</t>
  </si>
  <si>
    <t>郄嘉诚</t>
  </si>
  <si>
    <t>张世杰</t>
  </si>
  <si>
    <t>刘浩</t>
  </si>
  <si>
    <t>刘淏天</t>
  </si>
  <si>
    <t>胡津豪</t>
  </si>
  <si>
    <t>武琛泽</t>
  </si>
  <si>
    <t>杨泽邦</t>
  </si>
  <si>
    <t>刘佳民</t>
  </si>
  <si>
    <t>牛子奥</t>
  </si>
  <si>
    <t>刘贺杰</t>
  </si>
  <si>
    <t>于嘉琛</t>
  </si>
  <si>
    <t>程鹏瑞</t>
  </si>
  <si>
    <t>徐赫</t>
  </si>
  <si>
    <t>赵朔</t>
  </si>
  <si>
    <t>白鑫杰</t>
  </si>
  <si>
    <t>关浩聪</t>
  </si>
  <si>
    <t>邱一喆</t>
  </si>
  <si>
    <t>李炫达</t>
  </si>
  <si>
    <t>潘浩然</t>
  </si>
  <si>
    <t>段企辉</t>
  </si>
  <si>
    <t>寇丁</t>
  </si>
  <si>
    <t>刘泽名</t>
  </si>
  <si>
    <t>王仕森</t>
  </si>
  <si>
    <t>张安琪</t>
  </si>
  <si>
    <t>谷子霖</t>
  </si>
  <si>
    <t>郑淏泽</t>
  </si>
  <si>
    <t>甄晓进</t>
  </si>
  <si>
    <t>杨淼</t>
  </si>
  <si>
    <t>马常源</t>
  </si>
  <si>
    <t>李晓源</t>
  </si>
  <si>
    <t>孙毅</t>
  </si>
  <si>
    <t>齐梓浩</t>
  </si>
  <si>
    <t>张泽杨</t>
  </si>
  <si>
    <t>李尚哲</t>
  </si>
  <si>
    <t>陈泽鑫</t>
  </si>
  <si>
    <t>王宝森</t>
  </si>
  <si>
    <t>袁博</t>
  </si>
  <si>
    <t>英语</t>
  </si>
  <si>
    <t>历史</t>
  </si>
  <si>
    <t>刘笑琳</t>
  </si>
  <si>
    <t>冉晓静</t>
  </si>
  <si>
    <t>薛子涵</t>
  </si>
  <si>
    <t>张梦露</t>
  </si>
  <si>
    <t>崔馨雨</t>
  </si>
  <si>
    <t>刘雅轩</t>
  </si>
  <si>
    <t>李新蕾</t>
  </si>
  <si>
    <t>姚泽莹</t>
  </si>
  <si>
    <t>薛晗阳</t>
  </si>
  <si>
    <t>宋文婕</t>
  </si>
  <si>
    <t>单默涵</t>
  </si>
  <si>
    <t>王怡婷</t>
  </si>
  <si>
    <t>崔玉英</t>
  </si>
  <si>
    <t>蔡艺萱</t>
  </si>
  <si>
    <t>庞翊宣</t>
  </si>
  <si>
    <t>赵博含</t>
  </si>
  <si>
    <t>张博涵</t>
  </si>
  <si>
    <t>白紫溪</t>
  </si>
  <si>
    <t>刘潇远</t>
  </si>
  <si>
    <t>李铂洋</t>
  </si>
  <si>
    <t>武紫涵</t>
  </si>
  <si>
    <t>王颖</t>
  </si>
  <si>
    <t>刘帅</t>
  </si>
  <si>
    <t>赵曼宇</t>
  </si>
  <si>
    <t>张雨靖</t>
  </si>
  <si>
    <t>孙楠</t>
  </si>
  <si>
    <t>马海云</t>
  </si>
  <si>
    <t>崔钰焱</t>
  </si>
  <si>
    <t>巴宇瑄</t>
  </si>
  <si>
    <t>闫宇帆</t>
  </si>
  <si>
    <t>韩瑞航</t>
  </si>
  <si>
    <t>王思远</t>
  </si>
  <si>
    <t>史益嘉</t>
  </si>
  <si>
    <t>常丽娜</t>
  </si>
  <si>
    <t>张煜涵</t>
  </si>
  <si>
    <t>李晓然</t>
  </si>
  <si>
    <t>李一帆</t>
  </si>
  <si>
    <t>王晓丹</t>
  </si>
  <si>
    <t>闫晓慧</t>
  </si>
  <si>
    <t>周志超</t>
  </si>
  <si>
    <t>侯帅</t>
  </si>
  <si>
    <t>周末迪</t>
  </si>
  <si>
    <t>谷紫健</t>
  </si>
  <si>
    <t>卢薇杉</t>
  </si>
  <si>
    <t>刘铭烨</t>
  </si>
  <si>
    <t>裴浩宇</t>
  </si>
  <si>
    <t>董怡涵</t>
  </si>
  <si>
    <t>霍瑞楠</t>
  </si>
  <si>
    <t>路怡然</t>
  </si>
  <si>
    <t>程译婕</t>
  </si>
  <si>
    <t>胡筱冉</t>
  </si>
  <si>
    <t>刘一冉</t>
  </si>
  <si>
    <t>孔潇</t>
  </si>
  <si>
    <t>曹梓焱</t>
  </si>
  <si>
    <t>明宇瑶</t>
  </si>
  <si>
    <t>葛函旭</t>
  </si>
  <si>
    <t>孙岚莎</t>
  </si>
  <si>
    <t>陶铉</t>
  </si>
  <si>
    <t>贾博杰</t>
  </si>
  <si>
    <t>程奥毅</t>
  </si>
  <si>
    <t>周慈硕</t>
  </si>
  <si>
    <t>许静妤</t>
  </si>
  <si>
    <t>史雪晴</t>
  </si>
  <si>
    <t>曹展溪</t>
  </si>
  <si>
    <t>赵敏</t>
  </si>
  <si>
    <t>陈晓敏</t>
  </si>
  <si>
    <t>韩婷</t>
  </si>
  <si>
    <t>李一畅</t>
  </si>
  <si>
    <t>刘萌萌</t>
  </si>
  <si>
    <t>张赫轩</t>
  </si>
  <si>
    <t>杨颜卉</t>
  </si>
  <si>
    <t>闫梦佳</t>
  </si>
  <si>
    <t>郭昕茹</t>
  </si>
  <si>
    <t>吴浩然</t>
  </si>
  <si>
    <t>孟士栋</t>
  </si>
  <si>
    <t>孙昭瑞</t>
  </si>
  <si>
    <t>邸若寒</t>
  </si>
  <si>
    <t>杜博雨</t>
  </si>
  <si>
    <t>李宜璠</t>
  </si>
  <si>
    <t>廉雨欣</t>
  </si>
  <si>
    <t>聂文特</t>
  </si>
  <si>
    <t>田默诗</t>
  </si>
  <si>
    <t>王一盼</t>
  </si>
  <si>
    <t>肖柯娴</t>
  </si>
  <si>
    <t>闫家瑞</t>
  </si>
  <si>
    <t>张梓轩</t>
  </si>
  <si>
    <t>周若依</t>
  </si>
  <si>
    <t>王邵涵</t>
  </si>
  <si>
    <t>孙若涵</t>
  </si>
  <si>
    <t>李春颖</t>
  </si>
  <si>
    <t>李佳瑶</t>
  </si>
  <si>
    <t>李泽鑫</t>
  </si>
  <si>
    <t>高宇兴</t>
  </si>
  <si>
    <t>李静怡</t>
  </si>
  <si>
    <t>曹越</t>
  </si>
  <si>
    <t>赵家乐</t>
  </si>
  <si>
    <t>李梓坦</t>
  </si>
  <si>
    <t>菅首航</t>
  </si>
  <si>
    <t>程梓钦</t>
  </si>
  <si>
    <t>冯雪婷</t>
  </si>
  <si>
    <t>魏若冰</t>
  </si>
  <si>
    <t>牛鑫泽</t>
  </si>
  <si>
    <t>唐荣杰</t>
  </si>
  <si>
    <t>薛红康</t>
  </si>
  <si>
    <t>张语凝</t>
  </si>
  <si>
    <t>田奥</t>
  </si>
  <si>
    <t>李晓星</t>
  </si>
  <si>
    <t>田文琦</t>
  </si>
  <si>
    <t>申子宁</t>
  </si>
  <si>
    <t>苏锦平</t>
  </si>
  <si>
    <t>王晓鹏</t>
  </si>
  <si>
    <t>张雪敏</t>
  </si>
  <si>
    <t>张慧哲</t>
  </si>
  <si>
    <t>柴语博</t>
  </si>
  <si>
    <t>韩涛</t>
  </si>
  <si>
    <t>王海涛</t>
  </si>
  <si>
    <t>刘雅畅</t>
  </si>
  <si>
    <t>蒋怿泽</t>
  </si>
  <si>
    <t>马奥飞</t>
  </si>
  <si>
    <t>乔智</t>
  </si>
  <si>
    <t>张子默</t>
  </si>
  <si>
    <t>郑子涵</t>
  </si>
  <si>
    <t>马文月</t>
  </si>
  <si>
    <t>王嘉瑶</t>
  </si>
  <si>
    <t>闫嘉慧</t>
  </si>
  <si>
    <t>封昭君</t>
  </si>
  <si>
    <t>杨奥</t>
  </si>
  <si>
    <t>胡英杰</t>
  </si>
  <si>
    <t>李秀靖</t>
  </si>
  <si>
    <t>董子柔</t>
  </si>
  <si>
    <t>郝亦诺</t>
  </si>
  <si>
    <t>沈美何</t>
  </si>
  <si>
    <t>栗若纤</t>
  </si>
  <si>
    <t>程石</t>
  </si>
  <si>
    <t>方健美</t>
  </si>
  <si>
    <t>申笑笑</t>
  </si>
  <si>
    <t>董明宇</t>
  </si>
  <si>
    <t>苏子凡</t>
  </si>
  <si>
    <t>郝佳瑞</t>
  </si>
  <si>
    <t>郭圆梦</t>
  </si>
  <si>
    <t>田舒萌</t>
  </si>
  <si>
    <t>朱坤</t>
  </si>
  <si>
    <t>白云鑫</t>
  </si>
  <si>
    <t>张森洋</t>
  </si>
  <si>
    <t>张家赫</t>
  </si>
  <si>
    <t>李琪奥</t>
  </si>
  <si>
    <t>崔展谊</t>
  </si>
  <si>
    <t>许祥雨</t>
  </si>
  <si>
    <t>蕫怡涵</t>
  </si>
  <si>
    <t>邵宏宇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</si>
</sst>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_ "/>
  </numFmts>
  <fonts count="33">
    <font>
      <sz val="11"/>
      <color theme="1"/>
      <name val="宋体"/>
      <charset val="134"/>
      <scheme val="minor"/>
    </font>
    <font>
      <sz val="14"/>
      <color theme="1"/>
      <name val="宋体"/>
      <charset val="134"/>
    </font>
    <font>
      <sz val="14"/>
      <color rgb="FF000000"/>
      <name val="宋体"/>
      <charset val="134"/>
    </font>
    <font>
      <sz val="14"/>
      <color rgb="FF000000"/>
      <name val="宋体"/>
      <charset val="134"/>
      <scheme val="minor"/>
    </font>
    <font>
      <sz val="11"/>
      <color rgb="FF000000"/>
      <name val="宋体"/>
      <charset val="134"/>
    </font>
    <font>
      <sz val="12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8"/>
      <color theme="1"/>
      <name val="宋体"/>
      <charset val="134"/>
      <scheme val="minor"/>
    </font>
    <font>
      <sz val="18"/>
      <color rgb="FF000000"/>
      <name val="宋体"/>
      <charset val="134"/>
    </font>
    <font>
      <sz val="14"/>
      <color theme="1"/>
      <name val="宋体"/>
      <charset val="134"/>
      <scheme val="minor"/>
    </font>
    <font>
      <sz val="12"/>
      <color rgb="FF000000"/>
      <name val="宋体"/>
      <charset val="134"/>
    </font>
    <font>
      <sz val="11"/>
      <name val="宋体"/>
      <charset val="134"/>
    </font>
    <font>
      <sz val="12"/>
      <color rgb="FF000000"/>
      <name val="微软雅黑"/>
      <charset val="134"/>
    </font>
    <font>
      <sz val="12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7" borderId="1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8" borderId="15" applyNumberFormat="0" applyAlignment="0" applyProtection="0">
      <alignment vertical="center"/>
    </xf>
    <xf numFmtId="0" fontId="23" fillId="9" borderId="16" applyNumberFormat="0" applyAlignment="0" applyProtection="0">
      <alignment vertical="center"/>
    </xf>
    <xf numFmtId="0" fontId="24" fillId="9" borderId="15" applyNumberFormat="0" applyAlignment="0" applyProtection="0">
      <alignment vertical="center"/>
    </xf>
    <xf numFmtId="0" fontId="25" fillId="10" borderId="17" applyNumberFormat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4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6" fillId="2" borderId="1" xfId="0" applyFont="1" applyFill="1" applyBorder="1">
      <alignment vertical="center"/>
    </xf>
    <xf numFmtId="0" fontId="2" fillId="3" borderId="5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9" fillId="0" borderId="5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10" fillId="0" borderId="1" xfId="0" applyFont="1" applyBorder="1">
      <alignment vertical="center"/>
    </xf>
    <xf numFmtId="0" fontId="11" fillId="0" borderId="6" xfId="0" applyFont="1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0" fillId="0" borderId="9" xfId="0" applyBorder="1">
      <alignment vertical="center"/>
    </xf>
    <xf numFmtId="0" fontId="10" fillId="0" borderId="2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0" borderId="4" xfId="0" applyBorder="1">
      <alignment vertical="center"/>
    </xf>
    <xf numFmtId="0" fontId="4" fillId="0" borderId="4" xfId="0" applyFont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0" fillId="0" borderId="1" xfId="0" applyFont="1" applyBorder="1">
      <alignment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customXml" Target="../customXml/item3.xml"/><Relationship Id="rId10" Type="http://schemas.openxmlformats.org/officeDocument/2006/relationships/customXml" Target="../customXml/item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9"/>
  <sheetViews>
    <sheetView zoomScale="85" zoomScaleNormal="85" workbookViewId="0">
      <pane xSplit="1" topLeftCell="B1" activePane="topRight" state="frozen"/>
      <selection/>
      <selection pane="topRight" activeCell="X10" sqref="X10"/>
    </sheetView>
  </sheetViews>
  <sheetFormatPr defaultColWidth="9.62727272727273" defaultRowHeight="14"/>
  <cols>
    <col min="1" max="1" width="7.87272727272727" customWidth="1"/>
    <col min="2" max="3" width="5.25454545454545" customWidth="1"/>
    <col min="4" max="4" width="9" customWidth="1"/>
    <col min="5" max="8" width="5.87272727272727" customWidth="1"/>
    <col min="9" max="10" width="5.25454545454545" customWidth="1"/>
    <col min="11" max="11" width="9" customWidth="1"/>
    <col min="12" max="14" width="5.25454545454545" customWidth="1"/>
    <col min="15" max="15" width="5.87272727272727" customWidth="1"/>
    <col min="16" max="17" width="5.25454545454545" customWidth="1"/>
    <col min="18" max="18" width="9" customWidth="1"/>
    <col min="19" max="20" width="5.25454545454545" customWidth="1"/>
    <col min="21" max="22" width="5.5" customWidth="1"/>
  </cols>
  <sheetData>
    <row r="1" ht="17.5" spans="1:22">
      <c r="A1" s="20"/>
      <c r="B1" s="8" t="s">
        <v>0</v>
      </c>
      <c r="C1" s="36"/>
      <c r="D1" s="36"/>
      <c r="E1" s="36"/>
      <c r="F1" s="36"/>
      <c r="G1" s="36"/>
      <c r="H1" s="36"/>
      <c r="I1" s="8" t="s">
        <v>1</v>
      </c>
      <c r="J1" s="36"/>
      <c r="K1" s="36"/>
      <c r="L1" s="36"/>
      <c r="M1" s="36"/>
      <c r="N1" s="36"/>
      <c r="O1" s="36"/>
      <c r="P1" s="8" t="s">
        <v>2</v>
      </c>
      <c r="Q1" s="36"/>
      <c r="R1" s="36"/>
      <c r="S1" s="36"/>
      <c r="T1" s="36"/>
      <c r="U1" s="36"/>
      <c r="V1" s="36"/>
    </row>
    <row r="2" ht="17.5" spans="1:22">
      <c r="A2" s="20" t="s">
        <v>3</v>
      </c>
      <c r="B2" s="60" t="s">
        <v>4</v>
      </c>
      <c r="C2" s="60" t="s">
        <v>5</v>
      </c>
      <c r="D2" s="60" t="s">
        <v>6</v>
      </c>
      <c r="E2" s="60" t="s">
        <v>7</v>
      </c>
      <c r="F2" s="60" t="s">
        <v>8</v>
      </c>
      <c r="G2" s="61" t="s">
        <v>9</v>
      </c>
      <c r="H2" s="60" t="s">
        <v>10</v>
      </c>
      <c r="I2" s="60" t="s">
        <v>4</v>
      </c>
      <c r="J2" s="60" t="s">
        <v>5</v>
      </c>
      <c r="K2" s="60" t="s">
        <v>6</v>
      </c>
      <c r="L2" s="60" t="s">
        <v>7</v>
      </c>
      <c r="M2" s="60" t="s">
        <v>8</v>
      </c>
      <c r="N2" s="61" t="s">
        <v>9</v>
      </c>
      <c r="O2" s="62" t="s">
        <v>10</v>
      </c>
      <c r="P2" s="60" t="s">
        <v>4</v>
      </c>
      <c r="Q2" s="60" t="s">
        <v>5</v>
      </c>
      <c r="R2" s="60" t="s">
        <v>6</v>
      </c>
      <c r="S2" s="60" t="s">
        <v>7</v>
      </c>
      <c r="T2" s="60" t="s">
        <v>8</v>
      </c>
      <c r="U2" s="61" t="s">
        <v>9</v>
      </c>
      <c r="V2" s="11" t="s">
        <v>10</v>
      </c>
    </row>
    <row r="3" ht="15" spans="1:22">
      <c r="A3" s="63" t="s">
        <v>11</v>
      </c>
      <c r="B3" s="32">
        <v>52</v>
      </c>
      <c r="C3" s="32">
        <v>56</v>
      </c>
      <c r="D3" s="32">
        <v>47</v>
      </c>
      <c r="E3" s="32">
        <v>70</v>
      </c>
      <c r="F3" s="32">
        <v>25</v>
      </c>
      <c r="G3" s="32">
        <v>95</v>
      </c>
      <c r="H3" s="32">
        <v>250</v>
      </c>
      <c r="I3" s="32">
        <v>52</v>
      </c>
      <c r="J3" s="32">
        <v>71</v>
      </c>
      <c r="K3" s="32">
        <v>60</v>
      </c>
      <c r="L3" s="32">
        <v>32</v>
      </c>
      <c r="M3" s="32">
        <v>35</v>
      </c>
      <c r="N3" s="32">
        <v>67</v>
      </c>
      <c r="O3" s="64">
        <v>250</v>
      </c>
      <c r="P3" s="65">
        <v>56</v>
      </c>
      <c r="Q3" s="65">
        <v>54</v>
      </c>
      <c r="R3" s="65">
        <v>60</v>
      </c>
      <c r="S3" s="65">
        <v>47</v>
      </c>
      <c r="T3" s="65">
        <v>30</v>
      </c>
      <c r="U3" s="65">
        <v>77</v>
      </c>
      <c r="V3" s="65">
        <v>247</v>
      </c>
    </row>
    <row r="4" ht="15" spans="1:22">
      <c r="A4" s="63" t="s">
        <v>12</v>
      </c>
      <c r="B4" s="32">
        <v>56</v>
      </c>
      <c r="C4" s="32">
        <v>56</v>
      </c>
      <c r="D4" s="32">
        <v>70</v>
      </c>
      <c r="E4" s="32">
        <v>57</v>
      </c>
      <c r="F4" s="32">
        <v>28</v>
      </c>
      <c r="G4" s="32">
        <v>85</v>
      </c>
      <c r="H4" s="32">
        <v>267</v>
      </c>
      <c r="I4" s="32">
        <v>56</v>
      </c>
      <c r="J4" s="32">
        <v>76</v>
      </c>
      <c r="K4" s="32">
        <v>80</v>
      </c>
      <c r="L4" s="32">
        <v>63</v>
      </c>
      <c r="M4" s="32">
        <v>39</v>
      </c>
      <c r="N4" s="32">
        <v>102</v>
      </c>
      <c r="O4" s="64">
        <v>314</v>
      </c>
      <c r="P4" s="65"/>
      <c r="Q4" s="65"/>
      <c r="R4" s="65"/>
      <c r="S4" s="65"/>
      <c r="T4" s="65"/>
      <c r="U4" s="65"/>
      <c r="V4" s="65"/>
    </row>
    <row r="5" ht="15" spans="1:22">
      <c r="A5" s="63" t="s">
        <v>13</v>
      </c>
      <c r="B5" s="34"/>
      <c r="C5" s="34"/>
      <c r="D5" s="34"/>
      <c r="E5" s="34"/>
      <c r="F5" s="34"/>
      <c r="G5" s="34"/>
      <c r="H5" s="34"/>
      <c r="I5" s="34">
        <v>70</v>
      </c>
      <c r="J5" s="34">
        <v>84</v>
      </c>
      <c r="K5" s="34">
        <v>74</v>
      </c>
      <c r="L5" s="34">
        <v>48</v>
      </c>
      <c r="M5" s="34">
        <v>34</v>
      </c>
      <c r="N5" s="34">
        <v>82</v>
      </c>
      <c r="O5" s="66">
        <v>310</v>
      </c>
      <c r="P5" s="65">
        <v>76</v>
      </c>
      <c r="Q5" s="65">
        <v>79</v>
      </c>
      <c r="R5" s="65">
        <v>86</v>
      </c>
      <c r="S5" s="65">
        <v>46</v>
      </c>
      <c r="T5" s="65">
        <v>22</v>
      </c>
      <c r="U5" s="65">
        <v>68</v>
      </c>
      <c r="V5" s="65">
        <v>309</v>
      </c>
    </row>
    <row r="6" ht="15" spans="1:22">
      <c r="A6" s="63" t="s">
        <v>14</v>
      </c>
      <c r="B6" s="32">
        <v>44</v>
      </c>
      <c r="C6" s="32">
        <v>92</v>
      </c>
      <c r="D6" s="32">
        <v>42</v>
      </c>
      <c r="E6" s="32">
        <v>77</v>
      </c>
      <c r="F6" s="32">
        <v>35</v>
      </c>
      <c r="G6" s="32">
        <v>112</v>
      </c>
      <c r="H6" s="32">
        <v>290</v>
      </c>
      <c r="I6" s="32">
        <v>66</v>
      </c>
      <c r="J6" s="32">
        <v>100</v>
      </c>
      <c r="K6" s="32">
        <v>70</v>
      </c>
      <c r="L6" s="32">
        <v>73</v>
      </c>
      <c r="M6" s="32">
        <v>35</v>
      </c>
      <c r="N6" s="32">
        <v>108</v>
      </c>
      <c r="O6" s="64">
        <v>344</v>
      </c>
      <c r="P6" s="65">
        <v>68</v>
      </c>
      <c r="Q6" s="65">
        <v>70</v>
      </c>
      <c r="R6" s="65">
        <v>66</v>
      </c>
      <c r="S6" s="65">
        <v>94</v>
      </c>
      <c r="T6" s="65">
        <v>26</v>
      </c>
      <c r="U6" s="65">
        <v>120</v>
      </c>
      <c r="V6" s="65">
        <v>324</v>
      </c>
    </row>
    <row r="7" ht="15" spans="1:22">
      <c r="A7" s="63" t="s">
        <v>15</v>
      </c>
      <c r="B7" s="32">
        <v>68</v>
      </c>
      <c r="C7" s="32">
        <v>90</v>
      </c>
      <c r="D7" s="32">
        <v>51</v>
      </c>
      <c r="E7" s="32">
        <v>86</v>
      </c>
      <c r="F7" s="32">
        <v>35</v>
      </c>
      <c r="G7" s="32">
        <v>121</v>
      </c>
      <c r="H7" s="32">
        <v>330</v>
      </c>
      <c r="I7" s="32">
        <v>70</v>
      </c>
      <c r="J7" s="32">
        <v>97</v>
      </c>
      <c r="K7" s="32">
        <v>82</v>
      </c>
      <c r="L7" s="32">
        <v>91</v>
      </c>
      <c r="M7" s="32">
        <v>36</v>
      </c>
      <c r="N7" s="32">
        <v>127</v>
      </c>
      <c r="O7" s="64">
        <v>376</v>
      </c>
      <c r="P7" s="65">
        <v>80</v>
      </c>
      <c r="Q7" s="65">
        <v>89</v>
      </c>
      <c r="R7" s="65">
        <v>86</v>
      </c>
      <c r="S7" s="65">
        <v>97</v>
      </c>
      <c r="T7" s="65">
        <v>29</v>
      </c>
      <c r="U7" s="65">
        <v>126</v>
      </c>
      <c r="V7" s="65">
        <v>381</v>
      </c>
    </row>
    <row r="8" ht="15" spans="1:22">
      <c r="A8" s="63" t="s">
        <v>16</v>
      </c>
      <c r="B8" s="32">
        <v>64</v>
      </c>
      <c r="C8" s="32">
        <v>87</v>
      </c>
      <c r="D8" s="32">
        <v>60</v>
      </c>
      <c r="E8" s="32">
        <v>85</v>
      </c>
      <c r="F8" s="32">
        <v>24</v>
      </c>
      <c r="G8" s="32">
        <v>109</v>
      </c>
      <c r="H8" s="32">
        <v>320</v>
      </c>
      <c r="I8" s="32">
        <v>58</v>
      </c>
      <c r="J8" s="32">
        <v>73</v>
      </c>
      <c r="K8" s="32">
        <v>64</v>
      </c>
      <c r="L8" s="32">
        <v>54</v>
      </c>
      <c r="M8" s="32">
        <v>41</v>
      </c>
      <c r="N8" s="32">
        <v>95</v>
      </c>
      <c r="O8" s="64">
        <v>290</v>
      </c>
      <c r="P8" s="65">
        <v>62</v>
      </c>
      <c r="Q8" s="65">
        <v>60</v>
      </c>
      <c r="R8" s="65">
        <v>76</v>
      </c>
      <c r="S8" s="65">
        <v>45</v>
      </c>
      <c r="T8" s="65">
        <v>22</v>
      </c>
      <c r="U8" s="65">
        <v>67</v>
      </c>
      <c r="V8" s="65">
        <v>265</v>
      </c>
    </row>
    <row r="9" ht="15" spans="1:22">
      <c r="A9" s="63" t="s">
        <v>17</v>
      </c>
      <c r="B9" s="32">
        <v>60</v>
      </c>
      <c r="C9" s="32">
        <v>72</v>
      </c>
      <c r="D9" s="32">
        <v>61</v>
      </c>
      <c r="E9" s="32">
        <v>30</v>
      </c>
      <c r="F9" s="32">
        <v>22</v>
      </c>
      <c r="G9" s="32">
        <v>52</v>
      </c>
      <c r="H9" s="32">
        <v>245</v>
      </c>
      <c r="I9" s="32"/>
      <c r="J9" s="32"/>
      <c r="K9" s="32"/>
      <c r="L9" s="32"/>
      <c r="M9" s="32"/>
      <c r="N9" s="32"/>
      <c r="O9" s="64"/>
      <c r="P9" s="65">
        <v>62</v>
      </c>
      <c r="Q9" s="65">
        <v>42</v>
      </c>
      <c r="R9" s="65">
        <v>82</v>
      </c>
      <c r="S9" s="65">
        <v>37</v>
      </c>
      <c r="T9" s="65">
        <v>30</v>
      </c>
      <c r="U9" s="65">
        <v>67</v>
      </c>
      <c r="V9" s="65">
        <v>253</v>
      </c>
    </row>
    <row r="10" ht="15" spans="1:22">
      <c r="A10" s="63" t="s">
        <v>18</v>
      </c>
      <c r="B10" s="32">
        <v>42</v>
      </c>
      <c r="C10" s="32">
        <v>47</v>
      </c>
      <c r="D10" s="32">
        <v>39</v>
      </c>
      <c r="E10" s="32">
        <v>42</v>
      </c>
      <c r="F10" s="32">
        <v>19</v>
      </c>
      <c r="G10" s="32">
        <v>61</v>
      </c>
      <c r="H10" s="32">
        <v>189</v>
      </c>
      <c r="I10" s="32">
        <v>38</v>
      </c>
      <c r="J10" s="32">
        <v>71</v>
      </c>
      <c r="K10" s="32">
        <v>56</v>
      </c>
      <c r="L10" s="32">
        <v>24</v>
      </c>
      <c r="M10" s="32">
        <v>17</v>
      </c>
      <c r="N10" s="32">
        <v>41</v>
      </c>
      <c r="O10" s="64">
        <v>206</v>
      </c>
      <c r="P10" s="65">
        <v>48</v>
      </c>
      <c r="Q10" s="65">
        <v>58</v>
      </c>
      <c r="R10" s="65">
        <v>48</v>
      </c>
      <c r="S10" s="65">
        <v>39</v>
      </c>
      <c r="T10" s="65">
        <v>18</v>
      </c>
      <c r="U10" s="65">
        <v>57</v>
      </c>
      <c r="V10" s="65">
        <v>211</v>
      </c>
    </row>
    <row r="11" ht="15" spans="1:22">
      <c r="A11" s="63" t="s">
        <v>19</v>
      </c>
      <c r="B11" s="32">
        <v>78</v>
      </c>
      <c r="C11" s="32">
        <v>39</v>
      </c>
      <c r="D11" s="32">
        <v>67</v>
      </c>
      <c r="E11" s="32">
        <v>74</v>
      </c>
      <c r="F11" s="32">
        <v>32</v>
      </c>
      <c r="G11" s="32">
        <v>106</v>
      </c>
      <c r="H11" s="32">
        <v>290</v>
      </c>
      <c r="I11" s="32">
        <v>68</v>
      </c>
      <c r="J11" s="32">
        <v>97</v>
      </c>
      <c r="K11" s="32">
        <v>72</v>
      </c>
      <c r="L11" s="32">
        <v>51</v>
      </c>
      <c r="M11" s="32">
        <v>37</v>
      </c>
      <c r="N11" s="32">
        <v>88</v>
      </c>
      <c r="O11" s="64">
        <v>325</v>
      </c>
      <c r="P11" s="65">
        <v>62</v>
      </c>
      <c r="Q11" s="65">
        <v>63</v>
      </c>
      <c r="R11" s="65">
        <v>82</v>
      </c>
      <c r="S11" s="65">
        <v>28</v>
      </c>
      <c r="T11" s="65">
        <v>37</v>
      </c>
      <c r="U11" s="65">
        <v>65</v>
      </c>
      <c r="V11" s="65">
        <v>272</v>
      </c>
    </row>
    <row r="12" ht="15" spans="1:22">
      <c r="A12" s="63" t="s">
        <v>20</v>
      </c>
      <c r="B12" s="32">
        <v>54</v>
      </c>
      <c r="C12" s="32">
        <v>37</v>
      </c>
      <c r="D12" s="32">
        <v>58</v>
      </c>
      <c r="E12" s="34"/>
      <c r="F12" s="34"/>
      <c r="G12" s="34"/>
      <c r="H12" s="32">
        <v>149</v>
      </c>
      <c r="I12" s="32">
        <v>38</v>
      </c>
      <c r="J12" s="32">
        <v>44</v>
      </c>
      <c r="K12" s="32">
        <v>64</v>
      </c>
      <c r="L12" s="34">
        <v>35</v>
      </c>
      <c r="M12" s="34">
        <v>14</v>
      </c>
      <c r="N12" s="34">
        <v>49</v>
      </c>
      <c r="O12" s="64">
        <v>195</v>
      </c>
      <c r="P12" s="65"/>
      <c r="Q12" s="65"/>
      <c r="R12" s="65"/>
      <c r="S12" s="65"/>
      <c r="T12" s="65"/>
      <c r="U12" s="65"/>
      <c r="V12" s="65"/>
    </row>
    <row r="13" ht="15" spans="1:22">
      <c r="A13" s="63" t="s">
        <v>21</v>
      </c>
      <c r="B13" s="32">
        <v>50</v>
      </c>
      <c r="C13" s="32">
        <v>24</v>
      </c>
      <c r="D13" s="32">
        <v>65</v>
      </c>
      <c r="E13" s="32">
        <v>42</v>
      </c>
      <c r="F13" s="32">
        <v>23</v>
      </c>
      <c r="G13" s="32">
        <v>65</v>
      </c>
      <c r="H13" s="32">
        <v>204</v>
      </c>
      <c r="I13" s="32">
        <v>58</v>
      </c>
      <c r="J13" s="32">
        <v>28</v>
      </c>
      <c r="K13" s="32">
        <v>78</v>
      </c>
      <c r="L13" s="32">
        <v>32</v>
      </c>
      <c r="M13" s="32">
        <v>37</v>
      </c>
      <c r="N13" s="32">
        <v>69</v>
      </c>
      <c r="O13" s="64">
        <v>233</v>
      </c>
      <c r="P13" s="65">
        <v>70</v>
      </c>
      <c r="Q13" s="65">
        <v>29</v>
      </c>
      <c r="R13" s="65">
        <v>84</v>
      </c>
      <c r="S13" s="65">
        <v>45</v>
      </c>
      <c r="T13" s="65">
        <v>27</v>
      </c>
      <c r="U13" s="65">
        <v>72</v>
      </c>
      <c r="V13" s="65">
        <v>255</v>
      </c>
    </row>
    <row r="14" ht="15" spans="1:22">
      <c r="A14" s="63" t="s">
        <v>22</v>
      </c>
      <c r="B14" s="32">
        <v>74</v>
      </c>
      <c r="C14" s="32">
        <v>83</v>
      </c>
      <c r="D14" s="32">
        <v>68</v>
      </c>
      <c r="E14" s="32">
        <v>89</v>
      </c>
      <c r="F14" s="32">
        <v>35</v>
      </c>
      <c r="G14" s="32">
        <v>124</v>
      </c>
      <c r="H14" s="32">
        <v>349</v>
      </c>
      <c r="I14" s="32">
        <v>74</v>
      </c>
      <c r="J14" s="32">
        <v>97</v>
      </c>
      <c r="K14" s="32">
        <v>72</v>
      </c>
      <c r="L14" s="32">
        <v>94</v>
      </c>
      <c r="M14" s="32">
        <v>37</v>
      </c>
      <c r="N14" s="32">
        <v>131</v>
      </c>
      <c r="O14" s="64">
        <v>374</v>
      </c>
      <c r="P14" s="65">
        <v>82</v>
      </c>
      <c r="Q14" s="65">
        <v>73</v>
      </c>
      <c r="R14" s="65">
        <v>84</v>
      </c>
      <c r="S14" s="65">
        <v>85</v>
      </c>
      <c r="T14" s="65">
        <v>34</v>
      </c>
      <c r="U14" s="65">
        <v>119</v>
      </c>
      <c r="V14" s="65">
        <v>358</v>
      </c>
    </row>
    <row r="15" ht="15" spans="1:22">
      <c r="A15" s="63" t="s">
        <v>23</v>
      </c>
      <c r="B15" s="32">
        <v>68</v>
      </c>
      <c r="C15" s="32">
        <v>72</v>
      </c>
      <c r="D15" s="32">
        <v>63</v>
      </c>
      <c r="E15" s="32">
        <v>89</v>
      </c>
      <c r="F15" s="32">
        <v>31</v>
      </c>
      <c r="G15" s="32">
        <v>120</v>
      </c>
      <c r="H15" s="32">
        <v>323</v>
      </c>
      <c r="I15" s="32">
        <v>70</v>
      </c>
      <c r="J15" s="32">
        <v>89</v>
      </c>
      <c r="K15" s="32">
        <v>52</v>
      </c>
      <c r="L15" s="32">
        <v>87</v>
      </c>
      <c r="M15" s="32">
        <v>36</v>
      </c>
      <c r="N15" s="32">
        <v>123</v>
      </c>
      <c r="O15" s="64">
        <v>334</v>
      </c>
      <c r="P15" s="65">
        <v>60</v>
      </c>
      <c r="Q15" s="65">
        <v>60</v>
      </c>
      <c r="R15" s="65">
        <v>70</v>
      </c>
      <c r="S15" s="65">
        <v>80</v>
      </c>
      <c r="T15" s="65">
        <v>30</v>
      </c>
      <c r="U15" s="65">
        <v>110</v>
      </c>
      <c r="V15" s="65">
        <v>300</v>
      </c>
    </row>
    <row r="16" ht="15" spans="1:22">
      <c r="A16" s="63" t="s">
        <v>24</v>
      </c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66"/>
      <c r="P16" s="65">
        <v>60</v>
      </c>
      <c r="Q16" s="65">
        <v>61</v>
      </c>
      <c r="R16" s="65">
        <v>80</v>
      </c>
      <c r="S16" s="65">
        <v>33</v>
      </c>
      <c r="T16" s="65">
        <v>31</v>
      </c>
      <c r="U16" s="65">
        <v>64</v>
      </c>
      <c r="V16" s="65">
        <v>265</v>
      </c>
    </row>
    <row r="17" ht="15" spans="1:22">
      <c r="A17" s="63" t="s">
        <v>25</v>
      </c>
      <c r="B17" s="32">
        <v>58</v>
      </c>
      <c r="C17" s="32">
        <v>54</v>
      </c>
      <c r="D17" s="32">
        <v>64</v>
      </c>
      <c r="E17" s="32">
        <v>66</v>
      </c>
      <c r="F17" s="32">
        <v>25</v>
      </c>
      <c r="G17" s="32">
        <v>91</v>
      </c>
      <c r="H17" s="32">
        <v>267</v>
      </c>
      <c r="I17" s="32">
        <v>56</v>
      </c>
      <c r="J17" s="32">
        <v>58</v>
      </c>
      <c r="K17" s="32">
        <v>48</v>
      </c>
      <c r="L17" s="32">
        <v>45</v>
      </c>
      <c r="M17" s="32">
        <v>36</v>
      </c>
      <c r="N17" s="32">
        <v>81</v>
      </c>
      <c r="O17" s="64">
        <v>243</v>
      </c>
      <c r="P17" s="65">
        <v>44</v>
      </c>
      <c r="Q17" s="65">
        <v>56</v>
      </c>
      <c r="R17" s="65">
        <v>62</v>
      </c>
      <c r="S17" s="65">
        <v>59</v>
      </c>
      <c r="T17" s="65">
        <v>34</v>
      </c>
      <c r="U17" s="65">
        <v>93</v>
      </c>
      <c r="V17" s="65">
        <v>255</v>
      </c>
    </row>
    <row r="18" ht="15" spans="1:22">
      <c r="A18" s="40" t="s">
        <v>26</v>
      </c>
      <c r="B18" s="32"/>
      <c r="C18" s="32"/>
      <c r="D18" s="32"/>
      <c r="E18" s="32"/>
      <c r="F18" s="32"/>
      <c r="G18" s="32"/>
      <c r="H18" s="32"/>
      <c r="I18" s="32">
        <v>46</v>
      </c>
      <c r="J18" s="32">
        <v>83</v>
      </c>
      <c r="K18" s="32">
        <v>74</v>
      </c>
      <c r="L18" s="32">
        <v>62</v>
      </c>
      <c r="M18" s="32">
        <v>35</v>
      </c>
      <c r="N18" s="32">
        <v>97</v>
      </c>
      <c r="O18" s="64">
        <v>300</v>
      </c>
      <c r="P18" s="65">
        <v>60</v>
      </c>
      <c r="Q18" s="65">
        <v>36</v>
      </c>
      <c r="R18" s="65">
        <v>78</v>
      </c>
      <c r="S18" s="65">
        <v>49</v>
      </c>
      <c r="T18" s="65">
        <v>32</v>
      </c>
      <c r="U18" s="65">
        <v>81</v>
      </c>
      <c r="V18" s="65">
        <v>255</v>
      </c>
    </row>
    <row r="19" ht="15" spans="1:22">
      <c r="A19" s="63" t="s">
        <v>27</v>
      </c>
      <c r="B19" s="32">
        <v>60</v>
      </c>
      <c r="C19" s="32">
        <v>66</v>
      </c>
      <c r="D19" s="32">
        <v>50</v>
      </c>
      <c r="E19" s="32">
        <v>44</v>
      </c>
      <c r="F19" s="32">
        <v>20</v>
      </c>
      <c r="G19" s="32">
        <v>64</v>
      </c>
      <c r="H19" s="32">
        <v>240</v>
      </c>
      <c r="I19" s="32">
        <v>60</v>
      </c>
      <c r="J19" s="32">
        <v>57</v>
      </c>
      <c r="K19" s="32">
        <v>58</v>
      </c>
      <c r="L19" s="32">
        <v>40</v>
      </c>
      <c r="M19" s="32">
        <v>28</v>
      </c>
      <c r="N19" s="32">
        <v>68</v>
      </c>
      <c r="O19" s="64">
        <v>243</v>
      </c>
      <c r="P19" s="65">
        <v>68</v>
      </c>
      <c r="Q19" s="65">
        <v>55</v>
      </c>
      <c r="R19" s="65">
        <v>82</v>
      </c>
      <c r="S19" s="65">
        <v>87</v>
      </c>
      <c r="T19" s="65">
        <v>35</v>
      </c>
      <c r="U19" s="65">
        <v>122</v>
      </c>
      <c r="V19" s="65">
        <v>327</v>
      </c>
    </row>
    <row r="20" ht="15" spans="1:22">
      <c r="A20" s="63" t="s">
        <v>28</v>
      </c>
      <c r="B20" s="32">
        <v>50</v>
      </c>
      <c r="C20" s="32">
        <v>77</v>
      </c>
      <c r="D20" s="32">
        <v>54</v>
      </c>
      <c r="E20" s="32">
        <v>65</v>
      </c>
      <c r="F20" s="32">
        <v>25</v>
      </c>
      <c r="G20" s="32">
        <v>90</v>
      </c>
      <c r="H20" s="32">
        <v>271</v>
      </c>
      <c r="I20" s="32">
        <v>64</v>
      </c>
      <c r="J20" s="32">
        <v>90</v>
      </c>
      <c r="K20" s="32">
        <v>72</v>
      </c>
      <c r="L20" s="32">
        <v>63</v>
      </c>
      <c r="M20" s="32">
        <v>39</v>
      </c>
      <c r="N20" s="32">
        <v>102</v>
      </c>
      <c r="O20" s="64">
        <v>328</v>
      </c>
      <c r="P20" s="65">
        <v>56</v>
      </c>
      <c r="Q20" s="65">
        <v>63</v>
      </c>
      <c r="R20" s="65">
        <v>68</v>
      </c>
      <c r="S20" s="65">
        <v>46</v>
      </c>
      <c r="T20" s="65">
        <v>41</v>
      </c>
      <c r="U20" s="65">
        <v>87</v>
      </c>
      <c r="V20" s="65">
        <v>274</v>
      </c>
    </row>
    <row r="21" ht="15" spans="1:22">
      <c r="A21" s="63" t="s">
        <v>29</v>
      </c>
      <c r="B21" s="32">
        <v>56</v>
      </c>
      <c r="C21" s="32">
        <v>75</v>
      </c>
      <c r="D21" s="32">
        <v>26</v>
      </c>
      <c r="E21" s="32">
        <v>53</v>
      </c>
      <c r="F21" s="32">
        <v>14</v>
      </c>
      <c r="G21" s="32">
        <v>67</v>
      </c>
      <c r="H21" s="32">
        <v>224</v>
      </c>
      <c r="I21" s="32">
        <v>50</v>
      </c>
      <c r="J21" s="32">
        <v>84</v>
      </c>
      <c r="K21" s="32">
        <v>56</v>
      </c>
      <c r="L21" s="32">
        <v>34</v>
      </c>
      <c r="M21" s="32">
        <v>17</v>
      </c>
      <c r="N21" s="32">
        <v>51</v>
      </c>
      <c r="O21" s="64">
        <v>241</v>
      </c>
      <c r="P21" s="65"/>
      <c r="Q21" s="65"/>
      <c r="R21" s="65"/>
      <c r="S21" s="65"/>
      <c r="T21" s="65"/>
      <c r="U21" s="65"/>
      <c r="V21" s="65"/>
    </row>
    <row r="22" ht="15" spans="1:22">
      <c r="A22" s="63" t="s">
        <v>30</v>
      </c>
      <c r="B22" s="32">
        <v>70</v>
      </c>
      <c r="C22" s="32">
        <v>91</v>
      </c>
      <c r="D22" s="32">
        <v>61</v>
      </c>
      <c r="E22" s="32">
        <v>38</v>
      </c>
      <c r="F22" s="32">
        <v>31</v>
      </c>
      <c r="G22" s="32">
        <v>69</v>
      </c>
      <c r="H22" s="32">
        <v>291</v>
      </c>
      <c r="I22" s="32">
        <v>64</v>
      </c>
      <c r="J22" s="32">
        <v>100</v>
      </c>
      <c r="K22" s="32">
        <v>62</v>
      </c>
      <c r="L22" s="32">
        <v>48</v>
      </c>
      <c r="M22" s="32">
        <v>34</v>
      </c>
      <c r="N22" s="32">
        <v>82</v>
      </c>
      <c r="O22" s="64">
        <v>308</v>
      </c>
      <c r="P22" s="65">
        <v>58</v>
      </c>
      <c r="Q22" s="65">
        <v>61</v>
      </c>
      <c r="R22" s="65">
        <v>68</v>
      </c>
      <c r="S22" s="65">
        <v>46</v>
      </c>
      <c r="T22" s="65">
        <v>36</v>
      </c>
      <c r="U22" s="65">
        <v>82</v>
      </c>
      <c r="V22" s="65">
        <v>269</v>
      </c>
    </row>
    <row r="23" ht="15" spans="1:22">
      <c r="A23" s="34" t="s">
        <v>31</v>
      </c>
      <c r="B23" s="32">
        <v>78</v>
      </c>
      <c r="C23" s="32">
        <v>93</v>
      </c>
      <c r="D23" s="32">
        <v>67</v>
      </c>
      <c r="E23" s="32">
        <v>85</v>
      </c>
      <c r="F23" s="32">
        <v>31</v>
      </c>
      <c r="G23" s="32">
        <v>116</v>
      </c>
      <c r="H23" s="32">
        <v>354</v>
      </c>
      <c r="I23" s="32">
        <v>72</v>
      </c>
      <c r="J23" s="32">
        <v>100</v>
      </c>
      <c r="K23" s="32">
        <v>76</v>
      </c>
      <c r="L23" s="32">
        <v>91</v>
      </c>
      <c r="M23" s="32">
        <v>39</v>
      </c>
      <c r="N23" s="32">
        <v>130</v>
      </c>
      <c r="O23" s="64">
        <v>378</v>
      </c>
      <c r="P23" s="65">
        <v>82</v>
      </c>
      <c r="Q23" s="65">
        <v>98</v>
      </c>
      <c r="R23" s="65">
        <v>86</v>
      </c>
      <c r="S23" s="65">
        <v>97</v>
      </c>
      <c r="T23" s="65">
        <v>31</v>
      </c>
      <c r="U23" s="65">
        <v>128</v>
      </c>
      <c r="V23" s="65">
        <v>394</v>
      </c>
    </row>
    <row r="24" ht="15" spans="1:22">
      <c r="A24" s="63" t="s">
        <v>32</v>
      </c>
      <c r="B24" s="32">
        <v>68</v>
      </c>
      <c r="C24" s="32">
        <v>87</v>
      </c>
      <c r="D24" s="32">
        <v>66</v>
      </c>
      <c r="E24" s="32">
        <v>85</v>
      </c>
      <c r="F24" s="32">
        <v>34</v>
      </c>
      <c r="G24" s="32">
        <v>119</v>
      </c>
      <c r="H24" s="32">
        <v>340</v>
      </c>
      <c r="I24" s="32">
        <v>68</v>
      </c>
      <c r="J24" s="32">
        <v>100</v>
      </c>
      <c r="K24" s="32">
        <v>82</v>
      </c>
      <c r="L24" s="32">
        <v>91</v>
      </c>
      <c r="M24" s="32">
        <v>38</v>
      </c>
      <c r="N24" s="32">
        <v>129</v>
      </c>
      <c r="O24" s="64">
        <v>379</v>
      </c>
      <c r="P24" s="65">
        <v>70</v>
      </c>
      <c r="Q24" s="65">
        <v>93</v>
      </c>
      <c r="R24" s="65">
        <v>92</v>
      </c>
      <c r="S24" s="65">
        <v>82</v>
      </c>
      <c r="T24" s="65">
        <v>32</v>
      </c>
      <c r="U24" s="65">
        <v>114</v>
      </c>
      <c r="V24" s="65">
        <v>369</v>
      </c>
    </row>
    <row r="25" ht="15" spans="1:22">
      <c r="A25" s="63" t="s">
        <v>33</v>
      </c>
      <c r="B25" s="32">
        <v>68</v>
      </c>
      <c r="C25" s="32">
        <v>76</v>
      </c>
      <c r="D25" s="32">
        <v>49</v>
      </c>
      <c r="E25" s="32">
        <v>82</v>
      </c>
      <c r="F25" s="32">
        <v>37</v>
      </c>
      <c r="G25" s="32">
        <v>119</v>
      </c>
      <c r="H25" s="32">
        <v>312</v>
      </c>
      <c r="I25" s="32"/>
      <c r="J25" s="32"/>
      <c r="K25" s="32"/>
      <c r="L25" s="32"/>
      <c r="M25" s="32"/>
      <c r="N25" s="32"/>
      <c r="O25" s="64"/>
      <c r="P25" s="65"/>
      <c r="Q25" s="65"/>
      <c r="R25" s="65"/>
      <c r="S25" s="65"/>
      <c r="T25" s="65"/>
      <c r="U25" s="65"/>
      <c r="V25" s="65"/>
    </row>
    <row r="26" ht="15" spans="1:22">
      <c r="A26" s="34" t="s">
        <v>34</v>
      </c>
      <c r="B26" s="32">
        <v>64</v>
      </c>
      <c r="C26" s="32">
        <v>72</v>
      </c>
      <c r="D26" s="32">
        <v>74</v>
      </c>
      <c r="E26" s="32">
        <v>69</v>
      </c>
      <c r="F26" s="32">
        <v>29</v>
      </c>
      <c r="G26" s="32">
        <v>98</v>
      </c>
      <c r="H26" s="32">
        <v>308</v>
      </c>
      <c r="I26" s="32">
        <v>70</v>
      </c>
      <c r="J26" s="32">
        <v>78</v>
      </c>
      <c r="K26" s="32">
        <v>70</v>
      </c>
      <c r="L26" s="32">
        <v>39</v>
      </c>
      <c r="M26" s="32">
        <v>35</v>
      </c>
      <c r="N26" s="32">
        <v>74</v>
      </c>
      <c r="O26" s="64">
        <v>292</v>
      </c>
      <c r="P26" s="65">
        <v>68</v>
      </c>
      <c r="Q26" s="65">
        <v>62</v>
      </c>
      <c r="R26" s="65">
        <v>66</v>
      </c>
      <c r="S26" s="65">
        <v>62</v>
      </c>
      <c r="T26" s="65">
        <v>33</v>
      </c>
      <c r="U26" s="65">
        <v>95</v>
      </c>
      <c r="V26" s="65">
        <v>291</v>
      </c>
    </row>
    <row r="27" ht="15" spans="1:22">
      <c r="A27" s="63" t="s">
        <v>35</v>
      </c>
      <c r="B27" s="34"/>
      <c r="C27" s="34"/>
      <c r="D27" s="34"/>
      <c r="E27" s="34"/>
      <c r="F27" s="34"/>
      <c r="G27" s="34"/>
      <c r="H27" s="34"/>
      <c r="I27" s="34">
        <v>50</v>
      </c>
      <c r="J27" s="34">
        <v>88</v>
      </c>
      <c r="K27" s="34">
        <v>80</v>
      </c>
      <c r="L27" s="34">
        <v>77</v>
      </c>
      <c r="M27" s="34">
        <v>41</v>
      </c>
      <c r="N27" s="34">
        <v>118</v>
      </c>
      <c r="O27" s="66">
        <v>336</v>
      </c>
      <c r="P27" s="65"/>
      <c r="Q27" s="65"/>
      <c r="R27" s="65"/>
      <c r="S27" s="65"/>
      <c r="T27" s="65"/>
      <c r="U27" s="65"/>
      <c r="V27" s="65"/>
    </row>
    <row r="28" ht="15" spans="1:22">
      <c r="A28" s="63" t="s">
        <v>36</v>
      </c>
      <c r="B28" s="32">
        <v>80</v>
      </c>
      <c r="C28" s="32">
        <v>87</v>
      </c>
      <c r="D28" s="32">
        <v>52</v>
      </c>
      <c r="E28" s="32">
        <v>91</v>
      </c>
      <c r="F28" s="32">
        <v>32</v>
      </c>
      <c r="G28" s="32">
        <v>123</v>
      </c>
      <c r="H28" s="32">
        <v>342</v>
      </c>
      <c r="I28" s="32">
        <v>74</v>
      </c>
      <c r="J28" s="32">
        <v>84</v>
      </c>
      <c r="K28" s="32">
        <v>68</v>
      </c>
      <c r="L28" s="32">
        <v>79</v>
      </c>
      <c r="M28" s="32">
        <v>31</v>
      </c>
      <c r="N28" s="32">
        <v>110</v>
      </c>
      <c r="O28" s="64">
        <v>336</v>
      </c>
      <c r="P28" s="65"/>
      <c r="Q28" s="65"/>
      <c r="R28" s="65"/>
      <c r="S28" s="65"/>
      <c r="T28" s="65"/>
      <c r="U28" s="65"/>
      <c r="V28" s="65"/>
    </row>
    <row r="29" ht="15" spans="1:22">
      <c r="A29" s="63" t="s">
        <v>37</v>
      </c>
      <c r="B29" s="34">
        <v>78</v>
      </c>
      <c r="C29" s="34">
        <v>67</v>
      </c>
      <c r="D29" s="34">
        <v>67</v>
      </c>
      <c r="E29" s="34">
        <v>49</v>
      </c>
      <c r="F29" s="34">
        <v>37</v>
      </c>
      <c r="G29" s="34">
        <v>86</v>
      </c>
      <c r="H29" s="34">
        <v>298</v>
      </c>
      <c r="I29" s="34">
        <v>76</v>
      </c>
      <c r="J29" s="34">
        <v>89</v>
      </c>
      <c r="K29" s="34">
        <v>68</v>
      </c>
      <c r="L29" s="34">
        <v>45</v>
      </c>
      <c r="M29" s="34">
        <v>38</v>
      </c>
      <c r="N29" s="34">
        <v>83</v>
      </c>
      <c r="O29" s="66">
        <v>316</v>
      </c>
      <c r="P29" s="65">
        <v>80</v>
      </c>
      <c r="Q29" s="65">
        <v>61</v>
      </c>
      <c r="R29" s="65">
        <v>66</v>
      </c>
      <c r="S29" s="65"/>
      <c r="T29" s="65"/>
      <c r="U29" s="65"/>
      <c r="V29" s="65">
        <v>207</v>
      </c>
    </row>
  </sheetData>
  <sheetProtection formatCells="0" formatColumns="0" formatRows="0" insertRows="0" insertColumns="0" insertHyperlinks="0" deleteColumns="0" deleteRows="0" sort="0" autoFilter="0" pivotTables="0"/>
  <mergeCells count="3">
    <mergeCell ref="B1:H1"/>
    <mergeCell ref="I1:O1"/>
    <mergeCell ref="P1:V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46"/>
  <sheetViews>
    <sheetView zoomScale="85" zoomScaleNormal="85" workbookViewId="0">
      <selection activeCell="D45" sqref="D45"/>
    </sheetView>
  </sheetViews>
  <sheetFormatPr defaultColWidth="9.62727272727273" defaultRowHeight="14"/>
  <cols>
    <col min="1" max="1" width="7.87272727272727" customWidth="1"/>
    <col min="2" max="3" width="5.25454545454545" customWidth="1"/>
    <col min="4" max="4" width="9" customWidth="1"/>
    <col min="5" max="5" width="5.25454545454545" customWidth="1"/>
    <col min="6" max="6" width="5.5" customWidth="1"/>
    <col min="7" max="8" width="6.5" customWidth="1"/>
    <col min="9" max="10" width="5.25454545454545" customWidth="1"/>
    <col min="11" max="11" width="9" customWidth="1"/>
    <col min="12" max="17" width="5.25454545454545" customWidth="1"/>
    <col min="18" max="18" width="9" customWidth="1"/>
    <col min="19" max="19" width="5.25454545454545" customWidth="1"/>
    <col min="20" max="20" width="5.5" customWidth="1"/>
    <col min="21" max="22" width="6.5" customWidth="1"/>
    <col min="23" max="23" width="5.25454545454545" customWidth="1"/>
  </cols>
  <sheetData>
    <row r="1" s="11" customFormat="1" ht="17.5" spans="1:22">
      <c r="A1" s="56"/>
      <c r="B1" s="10" t="s">
        <v>0</v>
      </c>
      <c r="C1" s="10"/>
      <c r="D1" s="10"/>
      <c r="E1" s="10"/>
      <c r="F1" s="10"/>
      <c r="G1" s="10"/>
      <c r="H1" s="10"/>
      <c r="I1" s="10" t="s">
        <v>1</v>
      </c>
      <c r="J1" s="10"/>
      <c r="K1" s="10"/>
      <c r="L1" s="10"/>
      <c r="M1" s="10"/>
      <c r="N1" s="10"/>
      <c r="O1" s="10"/>
      <c r="P1" s="10" t="s">
        <v>2</v>
      </c>
      <c r="Q1" s="10"/>
      <c r="R1" s="10"/>
      <c r="S1" s="10"/>
      <c r="T1" s="10"/>
      <c r="U1" s="10"/>
      <c r="V1" s="10"/>
    </row>
    <row r="2" s="11" customFormat="1" ht="17.5" spans="1:22">
      <c r="A2" s="8" t="s">
        <v>3</v>
      </c>
      <c r="B2" s="11" t="s">
        <v>4</v>
      </c>
      <c r="C2" s="11" t="s">
        <v>5</v>
      </c>
      <c r="D2" s="11" t="s">
        <v>6</v>
      </c>
      <c r="E2" s="11" t="s">
        <v>7</v>
      </c>
      <c r="F2" s="16" t="s">
        <v>38</v>
      </c>
      <c r="G2" s="57" t="s">
        <v>9</v>
      </c>
      <c r="H2" s="9" t="s">
        <v>10</v>
      </c>
      <c r="I2" s="11" t="s">
        <v>4</v>
      </c>
      <c r="J2" s="11" t="s">
        <v>5</v>
      </c>
      <c r="K2" s="11" t="s">
        <v>6</v>
      </c>
      <c r="L2" s="11" t="s">
        <v>7</v>
      </c>
      <c r="M2" s="16" t="s">
        <v>38</v>
      </c>
      <c r="N2" s="57" t="s">
        <v>9</v>
      </c>
      <c r="O2" s="9" t="s">
        <v>10</v>
      </c>
      <c r="P2" s="11" t="s">
        <v>4</v>
      </c>
      <c r="Q2" s="11" t="s">
        <v>5</v>
      </c>
      <c r="R2" s="11" t="s">
        <v>6</v>
      </c>
      <c r="S2" s="11" t="s">
        <v>7</v>
      </c>
      <c r="T2" s="16" t="s">
        <v>38</v>
      </c>
      <c r="U2" s="57" t="s">
        <v>9</v>
      </c>
      <c r="V2" s="9" t="s">
        <v>10</v>
      </c>
    </row>
    <row r="3" s="11" customFormat="1" ht="16.5" spans="1:22">
      <c r="A3" s="58" t="s">
        <v>39</v>
      </c>
      <c r="B3" s="11">
        <v>84</v>
      </c>
      <c r="C3" s="11">
        <v>61</v>
      </c>
      <c r="D3" s="11">
        <v>73</v>
      </c>
      <c r="E3" s="11">
        <v>81</v>
      </c>
      <c r="F3" s="11">
        <v>30</v>
      </c>
      <c r="G3" s="11">
        <f t="shared" ref="G3:G11" si="0">SUM(E3:F3)</f>
        <v>111</v>
      </c>
      <c r="H3" s="11">
        <f t="shared" ref="H3:H11" si="1">B3+C3+D3+E3+F3</f>
        <v>329</v>
      </c>
      <c r="I3" s="11">
        <v>62</v>
      </c>
      <c r="J3" s="11">
        <v>73</v>
      </c>
      <c r="K3" s="11">
        <v>62</v>
      </c>
      <c r="L3" s="11">
        <v>56</v>
      </c>
      <c r="M3" s="11">
        <v>26</v>
      </c>
      <c r="N3" s="11">
        <f>L3+M3</f>
        <v>82</v>
      </c>
      <c r="O3" s="11">
        <f t="shared" ref="O3:O11" si="2">I3+N3+J3+K3</f>
        <v>279</v>
      </c>
      <c r="P3" s="11">
        <v>82</v>
      </c>
      <c r="Q3" s="11">
        <v>67</v>
      </c>
      <c r="R3" s="11">
        <v>80</v>
      </c>
      <c r="S3" s="11">
        <v>67</v>
      </c>
      <c r="T3" s="11">
        <v>37.5</v>
      </c>
      <c r="U3" s="11">
        <f>T3+S3</f>
        <v>104.5</v>
      </c>
      <c r="V3" s="11">
        <f>U3+R3+Q3+P3</f>
        <v>333.5</v>
      </c>
    </row>
    <row r="4" s="11" customFormat="1" ht="16.5" spans="1:22">
      <c r="A4" s="58" t="s">
        <v>40</v>
      </c>
      <c r="B4" s="11">
        <v>56</v>
      </c>
      <c r="C4" s="11">
        <v>76</v>
      </c>
      <c r="D4" s="11">
        <v>72</v>
      </c>
      <c r="E4" s="11">
        <v>75</v>
      </c>
      <c r="F4" s="11">
        <v>39</v>
      </c>
      <c r="G4" s="11">
        <f t="shared" si="0"/>
        <v>114</v>
      </c>
      <c r="H4" s="11">
        <f t="shared" si="1"/>
        <v>318</v>
      </c>
      <c r="I4" s="11">
        <v>64</v>
      </c>
      <c r="J4" s="11">
        <v>63</v>
      </c>
      <c r="K4" s="11">
        <v>70</v>
      </c>
      <c r="L4" s="11">
        <v>56</v>
      </c>
      <c r="M4" s="11">
        <v>22</v>
      </c>
      <c r="N4" s="11">
        <f t="shared" ref="N4:N14" si="3">L4+M4</f>
        <v>78</v>
      </c>
      <c r="O4" s="11">
        <f t="shared" si="2"/>
        <v>275</v>
      </c>
      <c r="P4" s="11">
        <v>92</v>
      </c>
      <c r="Q4" s="11">
        <v>71</v>
      </c>
      <c r="R4" s="11">
        <v>76</v>
      </c>
      <c r="S4" s="11">
        <v>48</v>
      </c>
      <c r="T4" s="11">
        <v>34.5</v>
      </c>
      <c r="U4" s="11">
        <f t="shared" ref="U4:U44" si="4">T4+S4</f>
        <v>82.5</v>
      </c>
      <c r="V4" s="11">
        <f t="shared" ref="V4:V44" si="5">U4+R4+Q4+P4</f>
        <v>321.5</v>
      </c>
    </row>
    <row r="5" s="11" customFormat="1" ht="16.5" spans="1:22">
      <c r="A5" s="58" t="s">
        <v>41</v>
      </c>
      <c r="B5" s="11">
        <v>42</v>
      </c>
      <c r="C5" s="11">
        <v>63</v>
      </c>
      <c r="D5" s="11">
        <v>60</v>
      </c>
      <c r="E5" s="11">
        <v>77</v>
      </c>
      <c r="F5" s="11">
        <v>36</v>
      </c>
      <c r="G5" s="11">
        <f t="shared" si="0"/>
        <v>113</v>
      </c>
      <c r="H5" s="11">
        <f t="shared" si="1"/>
        <v>278</v>
      </c>
      <c r="I5" s="11">
        <v>72</v>
      </c>
      <c r="J5" s="11">
        <v>68</v>
      </c>
      <c r="K5" s="11">
        <v>70</v>
      </c>
      <c r="L5" s="11">
        <v>47</v>
      </c>
      <c r="M5" s="11">
        <v>23</v>
      </c>
      <c r="N5" s="11">
        <f t="shared" si="3"/>
        <v>70</v>
      </c>
      <c r="O5" s="11">
        <f t="shared" si="2"/>
        <v>280</v>
      </c>
      <c r="P5" s="11">
        <v>78</v>
      </c>
      <c r="Q5" s="11">
        <v>66</v>
      </c>
      <c r="R5" s="11">
        <v>88</v>
      </c>
      <c r="S5" s="11">
        <v>53</v>
      </c>
      <c r="T5" s="11">
        <v>30</v>
      </c>
      <c r="U5" s="11">
        <f t="shared" si="4"/>
        <v>83</v>
      </c>
      <c r="V5" s="11">
        <f t="shared" si="5"/>
        <v>315</v>
      </c>
    </row>
    <row r="6" s="11" customFormat="1" ht="16.5" spans="1:22">
      <c r="A6" s="58" t="s">
        <v>42</v>
      </c>
      <c r="B6" s="11">
        <v>76</v>
      </c>
      <c r="C6" s="11">
        <v>66</v>
      </c>
      <c r="D6" s="11">
        <v>67</v>
      </c>
      <c r="E6" s="11">
        <v>86</v>
      </c>
      <c r="F6" s="11">
        <v>27</v>
      </c>
      <c r="G6" s="11">
        <f t="shared" si="0"/>
        <v>113</v>
      </c>
      <c r="H6" s="11">
        <f t="shared" si="1"/>
        <v>322</v>
      </c>
      <c r="I6" s="11">
        <v>62</v>
      </c>
      <c r="J6" s="11">
        <v>54</v>
      </c>
      <c r="K6" s="11">
        <v>78</v>
      </c>
      <c r="L6" s="11">
        <v>49</v>
      </c>
      <c r="M6" s="11">
        <v>21</v>
      </c>
      <c r="N6" s="11">
        <f t="shared" si="3"/>
        <v>70</v>
      </c>
      <c r="O6" s="11">
        <f t="shared" si="2"/>
        <v>264</v>
      </c>
      <c r="P6" s="11">
        <v>66</v>
      </c>
      <c r="Q6" s="11">
        <v>67</v>
      </c>
      <c r="R6" s="11">
        <v>62</v>
      </c>
      <c r="S6" s="11">
        <v>33</v>
      </c>
      <c r="T6" s="11">
        <v>36</v>
      </c>
      <c r="U6" s="11">
        <f t="shared" si="4"/>
        <v>69</v>
      </c>
      <c r="V6" s="11">
        <f t="shared" si="5"/>
        <v>264</v>
      </c>
    </row>
    <row r="7" s="11" customFormat="1" ht="16.5" spans="1:22">
      <c r="A7" s="58" t="s">
        <v>43</v>
      </c>
      <c r="B7" s="11">
        <v>84</v>
      </c>
      <c r="C7" s="11">
        <v>98</v>
      </c>
      <c r="D7" s="11">
        <v>71</v>
      </c>
      <c r="E7" s="11">
        <v>94</v>
      </c>
      <c r="F7" s="11">
        <v>39</v>
      </c>
      <c r="G7" s="11">
        <f t="shared" si="0"/>
        <v>133</v>
      </c>
      <c r="H7" s="11">
        <f t="shared" si="1"/>
        <v>386</v>
      </c>
      <c r="I7" s="11">
        <v>72</v>
      </c>
      <c r="J7" s="11">
        <v>89</v>
      </c>
      <c r="K7" s="11">
        <v>70</v>
      </c>
      <c r="L7" s="11">
        <v>69</v>
      </c>
      <c r="M7" s="11">
        <v>19</v>
      </c>
      <c r="N7" s="11">
        <f t="shared" si="3"/>
        <v>88</v>
      </c>
      <c r="O7" s="11">
        <f t="shared" si="2"/>
        <v>319</v>
      </c>
      <c r="P7" s="11">
        <v>86</v>
      </c>
      <c r="Q7" s="11">
        <v>91</v>
      </c>
      <c r="R7" s="11">
        <v>94</v>
      </c>
      <c r="S7" s="11">
        <v>72</v>
      </c>
      <c r="T7" s="11">
        <v>39</v>
      </c>
      <c r="U7" s="11">
        <f t="shared" si="4"/>
        <v>111</v>
      </c>
      <c r="V7" s="11">
        <f t="shared" si="5"/>
        <v>382</v>
      </c>
    </row>
    <row r="8" s="11" customFormat="1" ht="16.5" spans="1:22">
      <c r="A8" s="58" t="s">
        <v>44</v>
      </c>
      <c r="B8" s="11">
        <v>84</v>
      </c>
      <c r="C8" s="11">
        <v>95</v>
      </c>
      <c r="D8" s="11">
        <v>75</v>
      </c>
      <c r="E8" s="11">
        <v>92</v>
      </c>
      <c r="F8" s="11">
        <v>43.5</v>
      </c>
      <c r="G8" s="11">
        <f t="shared" si="0"/>
        <v>135.5</v>
      </c>
      <c r="H8" s="11">
        <f t="shared" si="1"/>
        <v>389.5</v>
      </c>
      <c r="I8" s="11">
        <v>84</v>
      </c>
      <c r="J8" s="11">
        <v>93</v>
      </c>
      <c r="K8" s="11">
        <v>70</v>
      </c>
      <c r="L8" s="11">
        <v>73</v>
      </c>
      <c r="M8" s="11">
        <v>24</v>
      </c>
      <c r="N8" s="11">
        <f t="shared" si="3"/>
        <v>97</v>
      </c>
      <c r="O8" s="11">
        <f t="shared" si="2"/>
        <v>344</v>
      </c>
      <c r="P8" s="11">
        <v>92</v>
      </c>
      <c r="Q8" s="11">
        <v>92</v>
      </c>
      <c r="R8" s="11">
        <v>82</v>
      </c>
      <c r="S8" s="11">
        <v>89</v>
      </c>
      <c r="T8" s="11">
        <v>39</v>
      </c>
      <c r="U8" s="11">
        <f t="shared" si="4"/>
        <v>128</v>
      </c>
      <c r="V8" s="11">
        <f t="shared" si="5"/>
        <v>394</v>
      </c>
    </row>
    <row r="9" s="11" customFormat="1" ht="16.5" spans="1:22">
      <c r="A9" s="58" t="s">
        <v>45</v>
      </c>
      <c r="B9" s="11">
        <v>86</v>
      </c>
      <c r="C9" s="11">
        <v>97</v>
      </c>
      <c r="D9" s="11">
        <v>60</v>
      </c>
      <c r="E9" s="11">
        <v>96</v>
      </c>
      <c r="F9" s="11">
        <v>36</v>
      </c>
      <c r="G9" s="11">
        <f t="shared" si="0"/>
        <v>132</v>
      </c>
      <c r="H9" s="11">
        <f t="shared" si="1"/>
        <v>375</v>
      </c>
      <c r="I9" s="11">
        <v>64</v>
      </c>
      <c r="J9" s="11">
        <v>95</v>
      </c>
      <c r="K9" s="11">
        <v>76</v>
      </c>
      <c r="L9" s="11">
        <v>65</v>
      </c>
      <c r="M9" s="11">
        <v>24</v>
      </c>
      <c r="N9" s="11">
        <f t="shared" si="3"/>
        <v>89</v>
      </c>
      <c r="O9" s="11">
        <f t="shared" si="2"/>
        <v>324</v>
      </c>
      <c r="P9" s="11">
        <v>70</v>
      </c>
      <c r="Q9" s="11">
        <v>87</v>
      </c>
      <c r="R9" s="11">
        <v>94</v>
      </c>
      <c r="S9" s="11">
        <v>83</v>
      </c>
      <c r="T9" s="11">
        <v>31.5</v>
      </c>
      <c r="U9" s="11">
        <f t="shared" si="4"/>
        <v>114.5</v>
      </c>
      <c r="V9" s="11">
        <f t="shared" si="5"/>
        <v>365.5</v>
      </c>
    </row>
    <row r="10" s="11" customFormat="1" ht="16.5" spans="1:22">
      <c r="A10" s="58" t="s">
        <v>46</v>
      </c>
      <c r="B10" s="11">
        <v>78</v>
      </c>
      <c r="C10" s="11">
        <v>93</v>
      </c>
      <c r="D10" s="11">
        <v>75</v>
      </c>
      <c r="E10" s="11">
        <v>73</v>
      </c>
      <c r="F10" s="11">
        <v>28.5</v>
      </c>
      <c r="G10" s="11">
        <f t="shared" si="0"/>
        <v>101.5</v>
      </c>
      <c r="H10" s="11">
        <f t="shared" si="1"/>
        <v>347.5</v>
      </c>
      <c r="I10" s="11">
        <v>68</v>
      </c>
      <c r="J10" s="11">
        <v>94</v>
      </c>
      <c r="K10" s="11">
        <v>76</v>
      </c>
      <c r="L10" s="11">
        <v>59</v>
      </c>
      <c r="M10" s="11">
        <v>21</v>
      </c>
      <c r="N10" s="11">
        <f t="shared" si="3"/>
        <v>80</v>
      </c>
      <c r="O10" s="11">
        <f t="shared" si="2"/>
        <v>318</v>
      </c>
      <c r="P10" s="11">
        <v>66</v>
      </c>
      <c r="Q10" s="11">
        <v>81</v>
      </c>
      <c r="R10" s="11">
        <v>72</v>
      </c>
      <c r="S10" s="11">
        <v>52</v>
      </c>
      <c r="T10" s="11">
        <v>25.5</v>
      </c>
      <c r="U10" s="11">
        <f t="shared" si="4"/>
        <v>77.5</v>
      </c>
      <c r="V10" s="11">
        <f t="shared" si="5"/>
        <v>296.5</v>
      </c>
    </row>
    <row r="11" s="11" customFormat="1" ht="16.5" spans="1:22">
      <c r="A11" s="58" t="s">
        <v>47</v>
      </c>
      <c r="B11" s="11">
        <v>62</v>
      </c>
      <c r="C11" s="11">
        <v>76</v>
      </c>
      <c r="D11" s="11">
        <v>70</v>
      </c>
      <c r="E11" s="11">
        <v>70</v>
      </c>
      <c r="F11" s="11">
        <v>25.5</v>
      </c>
      <c r="G11" s="11">
        <f t="shared" si="0"/>
        <v>95.5</v>
      </c>
      <c r="H11" s="11">
        <f t="shared" si="1"/>
        <v>303.5</v>
      </c>
      <c r="I11" s="11">
        <v>82</v>
      </c>
      <c r="J11" s="11">
        <v>53</v>
      </c>
      <c r="K11" s="11">
        <v>54</v>
      </c>
      <c r="L11" s="11">
        <v>57</v>
      </c>
      <c r="M11" s="11">
        <v>25</v>
      </c>
      <c r="N11" s="11">
        <f t="shared" si="3"/>
        <v>82</v>
      </c>
      <c r="O11" s="11">
        <f t="shared" si="2"/>
        <v>271</v>
      </c>
      <c r="P11" s="11">
        <v>68</v>
      </c>
      <c r="Q11" s="11">
        <v>54</v>
      </c>
      <c r="R11" s="11">
        <v>44</v>
      </c>
      <c r="S11" s="11">
        <v>55</v>
      </c>
      <c r="T11" s="11">
        <v>28.5</v>
      </c>
      <c r="U11" s="11">
        <f t="shared" si="4"/>
        <v>83.5</v>
      </c>
      <c r="V11" s="11">
        <f t="shared" si="5"/>
        <v>249.5</v>
      </c>
    </row>
    <row r="12" s="11" customFormat="1" ht="16.5" spans="1:22">
      <c r="A12" s="58" t="s">
        <v>48</v>
      </c>
      <c r="B12" s="11">
        <v>70</v>
      </c>
      <c r="C12" s="11">
        <v>85</v>
      </c>
      <c r="D12" s="11">
        <v>57</v>
      </c>
      <c r="E12" s="11">
        <v>81</v>
      </c>
      <c r="F12" s="11">
        <v>28.5</v>
      </c>
      <c r="G12" s="11">
        <f t="shared" ref="G12:G44" si="6">SUM(E12:F12)</f>
        <v>109.5</v>
      </c>
      <c r="H12" s="11">
        <f t="shared" ref="H12:H44" si="7">B12+C12+D12+E12+F12</f>
        <v>321.5</v>
      </c>
      <c r="I12" s="11">
        <v>60</v>
      </c>
      <c r="J12" s="11">
        <v>72</v>
      </c>
      <c r="K12" s="11">
        <v>74</v>
      </c>
      <c r="L12" s="11">
        <v>59</v>
      </c>
      <c r="M12" s="11">
        <v>22</v>
      </c>
      <c r="N12" s="11">
        <f t="shared" si="3"/>
        <v>81</v>
      </c>
      <c r="O12" s="11">
        <f t="shared" ref="O12:O44" si="8">I12+N12+J12+K12</f>
        <v>287</v>
      </c>
      <c r="P12" s="11">
        <v>60</v>
      </c>
      <c r="Q12" s="11">
        <v>77</v>
      </c>
      <c r="R12" s="11">
        <v>76</v>
      </c>
      <c r="S12" s="11">
        <v>55</v>
      </c>
      <c r="T12" s="11">
        <v>34.5</v>
      </c>
      <c r="U12" s="11">
        <f t="shared" si="4"/>
        <v>89.5</v>
      </c>
      <c r="V12" s="11">
        <f t="shared" si="5"/>
        <v>302.5</v>
      </c>
    </row>
    <row r="13" s="11" customFormat="1" ht="16.5" spans="1:22">
      <c r="A13" s="58" t="s">
        <v>49</v>
      </c>
      <c r="B13" s="11">
        <v>86</v>
      </c>
      <c r="C13" s="11">
        <v>96</v>
      </c>
      <c r="D13" s="11">
        <v>73</v>
      </c>
      <c r="E13" s="11">
        <v>70</v>
      </c>
      <c r="F13" s="11">
        <v>37.5</v>
      </c>
      <c r="G13" s="11">
        <f t="shared" si="6"/>
        <v>107.5</v>
      </c>
      <c r="H13" s="11">
        <f t="shared" si="7"/>
        <v>362.5</v>
      </c>
      <c r="I13" s="11">
        <v>78</v>
      </c>
      <c r="J13" s="11">
        <v>87</v>
      </c>
      <c r="K13" s="11">
        <v>72</v>
      </c>
      <c r="L13" s="11">
        <v>55</v>
      </c>
      <c r="M13" s="11">
        <v>25</v>
      </c>
      <c r="N13" s="11">
        <f t="shared" si="3"/>
        <v>80</v>
      </c>
      <c r="O13" s="11">
        <f t="shared" si="8"/>
        <v>317</v>
      </c>
      <c r="P13" s="10"/>
      <c r="Q13" s="10"/>
      <c r="R13" s="10"/>
      <c r="S13" s="10"/>
      <c r="T13" s="10"/>
      <c r="U13" s="10"/>
      <c r="V13" s="10"/>
    </row>
    <row r="14" s="11" customFormat="1" ht="16.5" spans="1:22">
      <c r="A14" s="58" t="s">
        <v>50</v>
      </c>
      <c r="B14" s="11">
        <v>68</v>
      </c>
      <c r="C14" s="11">
        <v>74</v>
      </c>
      <c r="D14" s="11">
        <v>72</v>
      </c>
      <c r="E14" s="11">
        <v>84</v>
      </c>
      <c r="F14" s="11">
        <v>31.5</v>
      </c>
      <c r="G14" s="11">
        <f t="shared" si="6"/>
        <v>115.5</v>
      </c>
      <c r="H14" s="11">
        <f t="shared" si="7"/>
        <v>329.5</v>
      </c>
      <c r="I14" s="11">
        <v>66</v>
      </c>
      <c r="J14" s="11">
        <v>57</v>
      </c>
      <c r="K14" s="11">
        <v>66</v>
      </c>
      <c r="L14" s="11">
        <v>46</v>
      </c>
      <c r="M14" s="11">
        <v>23</v>
      </c>
      <c r="N14" s="11">
        <f t="shared" si="3"/>
        <v>69</v>
      </c>
      <c r="O14" s="11">
        <f t="shared" si="8"/>
        <v>258</v>
      </c>
      <c r="P14" s="11">
        <v>72</v>
      </c>
      <c r="Q14" s="11">
        <v>65</v>
      </c>
      <c r="R14" s="11">
        <v>72</v>
      </c>
      <c r="S14" s="11">
        <v>40</v>
      </c>
      <c r="T14" s="11">
        <v>39</v>
      </c>
      <c r="U14" s="11">
        <f t="shared" si="4"/>
        <v>79</v>
      </c>
      <c r="V14" s="11">
        <f t="shared" si="5"/>
        <v>288</v>
      </c>
    </row>
    <row r="15" s="11" customFormat="1" ht="16.5" spans="1:22">
      <c r="A15" s="58" t="s">
        <v>51</v>
      </c>
      <c r="B15" s="11">
        <v>96</v>
      </c>
      <c r="C15" s="11">
        <v>89</v>
      </c>
      <c r="D15" s="11">
        <v>77</v>
      </c>
      <c r="E15" s="11">
        <v>90</v>
      </c>
      <c r="F15" s="11">
        <v>40.5</v>
      </c>
      <c r="G15" s="11">
        <f t="shared" si="6"/>
        <v>130.5</v>
      </c>
      <c r="H15" s="11">
        <f t="shared" si="7"/>
        <v>392.5</v>
      </c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</row>
    <row r="16" s="11" customFormat="1" ht="16.5" spans="1:22">
      <c r="A16" s="58" t="s">
        <v>52</v>
      </c>
      <c r="B16" s="11">
        <v>66</v>
      </c>
      <c r="C16" s="11">
        <v>59</v>
      </c>
      <c r="D16" s="11">
        <v>64</v>
      </c>
      <c r="E16" s="11">
        <v>78</v>
      </c>
      <c r="F16" s="11">
        <v>30</v>
      </c>
      <c r="G16" s="11">
        <f t="shared" si="6"/>
        <v>108</v>
      </c>
      <c r="H16" s="11">
        <f t="shared" si="7"/>
        <v>297</v>
      </c>
      <c r="I16" s="11">
        <v>66</v>
      </c>
      <c r="J16" s="11">
        <v>67</v>
      </c>
      <c r="K16" s="11">
        <v>58</v>
      </c>
      <c r="L16" s="11">
        <v>46</v>
      </c>
      <c r="M16" s="11">
        <v>20</v>
      </c>
      <c r="N16" s="11">
        <f>L16+M16</f>
        <v>66</v>
      </c>
      <c r="O16" s="11">
        <f t="shared" si="8"/>
        <v>257</v>
      </c>
      <c r="P16" s="11">
        <v>62</v>
      </c>
      <c r="Q16" s="11">
        <v>62</v>
      </c>
      <c r="R16" s="11">
        <v>74</v>
      </c>
      <c r="S16" s="11">
        <v>50</v>
      </c>
      <c r="T16" s="11">
        <v>30</v>
      </c>
      <c r="U16" s="11">
        <f t="shared" si="4"/>
        <v>80</v>
      </c>
      <c r="V16" s="11">
        <f t="shared" si="5"/>
        <v>278</v>
      </c>
    </row>
    <row r="17" s="11" customFormat="1" ht="16.5" spans="1:22">
      <c r="A17" s="59" t="s">
        <v>53</v>
      </c>
      <c r="B17" s="11">
        <v>56</v>
      </c>
      <c r="C17" s="11">
        <v>75</v>
      </c>
      <c r="D17" s="11">
        <v>66</v>
      </c>
      <c r="E17" s="11">
        <v>86</v>
      </c>
      <c r="F17" s="11">
        <v>30</v>
      </c>
      <c r="G17" s="11">
        <f t="shared" si="6"/>
        <v>116</v>
      </c>
      <c r="H17" s="11">
        <f t="shared" si="7"/>
        <v>313</v>
      </c>
      <c r="I17" s="11">
        <v>72</v>
      </c>
      <c r="J17" s="11">
        <v>64</v>
      </c>
      <c r="K17" s="11">
        <v>62</v>
      </c>
      <c r="L17" s="11">
        <v>55</v>
      </c>
      <c r="M17" s="11">
        <v>15</v>
      </c>
      <c r="N17" s="11">
        <f t="shared" ref="N17:N26" si="9">L17+M17</f>
        <v>70</v>
      </c>
      <c r="O17" s="11">
        <f t="shared" si="8"/>
        <v>268</v>
      </c>
      <c r="P17" s="11">
        <v>70</v>
      </c>
      <c r="Q17" s="11">
        <v>66</v>
      </c>
      <c r="R17" s="11">
        <v>76</v>
      </c>
      <c r="S17" s="11">
        <v>72</v>
      </c>
      <c r="T17" s="11">
        <v>30</v>
      </c>
      <c r="U17" s="11">
        <f t="shared" si="4"/>
        <v>102</v>
      </c>
      <c r="V17" s="11">
        <f t="shared" si="5"/>
        <v>314</v>
      </c>
    </row>
    <row r="18" s="11" customFormat="1" ht="16.5" spans="1:22">
      <c r="A18" s="58" t="s">
        <v>54</v>
      </c>
      <c r="B18" s="11">
        <v>88</v>
      </c>
      <c r="C18" s="11">
        <v>97</v>
      </c>
      <c r="D18" s="11">
        <v>58</v>
      </c>
      <c r="E18" s="11">
        <v>83</v>
      </c>
      <c r="F18" s="11">
        <v>31.5</v>
      </c>
      <c r="G18" s="11">
        <f t="shared" si="6"/>
        <v>114.5</v>
      </c>
      <c r="H18" s="11">
        <f t="shared" si="7"/>
        <v>357.5</v>
      </c>
      <c r="I18" s="11">
        <v>70</v>
      </c>
      <c r="J18" s="11">
        <v>80</v>
      </c>
      <c r="K18" s="11">
        <v>82</v>
      </c>
      <c r="L18" s="11">
        <v>60</v>
      </c>
      <c r="M18" s="11">
        <v>24</v>
      </c>
      <c r="N18" s="11">
        <f t="shared" si="9"/>
        <v>84</v>
      </c>
      <c r="O18" s="11">
        <f t="shared" si="8"/>
        <v>316</v>
      </c>
      <c r="P18" s="11">
        <v>84</v>
      </c>
      <c r="Q18" s="11">
        <v>92</v>
      </c>
      <c r="R18" s="11">
        <v>82</v>
      </c>
      <c r="S18" s="11">
        <v>69</v>
      </c>
      <c r="T18" s="11">
        <v>34.5</v>
      </c>
      <c r="U18" s="11">
        <f t="shared" si="4"/>
        <v>103.5</v>
      </c>
      <c r="V18" s="11">
        <f t="shared" si="5"/>
        <v>361.5</v>
      </c>
    </row>
    <row r="19" s="11" customFormat="1" ht="16.5" spans="1:22">
      <c r="A19" s="58" t="s">
        <v>55</v>
      </c>
      <c r="B19" s="11">
        <v>82</v>
      </c>
      <c r="C19" s="11">
        <v>85</v>
      </c>
      <c r="D19" s="11">
        <v>70</v>
      </c>
      <c r="E19" s="11">
        <v>60</v>
      </c>
      <c r="F19" s="11">
        <v>40.5</v>
      </c>
      <c r="G19" s="11">
        <f t="shared" si="6"/>
        <v>100.5</v>
      </c>
      <c r="H19" s="11">
        <f t="shared" si="7"/>
        <v>337.5</v>
      </c>
      <c r="I19" s="11">
        <v>68</v>
      </c>
      <c r="J19" s="11">
        <v>74</v>
      </c>
      <c r="K19" s="11">
        <v>80</v>
      </c>
      <c r="L19" s="11">
        <v>58</v>
      </c>
      <c r="M19" s="11">
        <v>24</v>
      </c>
      <c r="N19" s="11">
        <f t="shared" si="9"/>
        <v>82</v>
      </c>
      <c r="O19" s="11">
        <f t="shared" si="8"/>
        <v>304</v>
      </c>
      <c r="P19" s="11">
        <v>86</v>
      </c>
      <c r="Q19" s="11">
        <v>55</v>
      </c>
      <c r="R19" s="11">
        <v>64</v>
      </c>
      <c r="S19" s="11">
        <v>45</v>
      </c>
      <c r="T19" s="11">
        <v>36</v>
      </c>
      <c r="U19" s="11">
        <f t="shared" si="4"/>
        <v>81</v>
      </c>
      <c r="V19" s="11">
        <f t="shared" si="5"/>
        <v>286</v>
      </c>
    </row>
    <row r="20" s="11" customFormat="1" ht="16.5" spans="1:22">
      <c r="A20" s="58" t="s">
        <v>56</v>
      </c>
      <c r="B20" s="11">
        <v>90</v>
      </c>
      <c r="C20" s="11">
        <v>99</v>
      </c>
      <c r="D20" s="11">
        <v>84</v>
      </c>
      <c r="E20" s="11">
        <v>89</v>
      </c>
      <c r="F20" s="11">
        <v>36</v>
      </c>
      <c r="G20" s="11">
        <f t="shared" si="6"/>
        <v>125</v>
      </c>
      <c r="H20" s="11">
        <f t="shared" si="7"/>
        <v>398</v>
      </c>
      <c r="I20" s="11">
        <v>86</v>
      </c>
      <c r="J20" s="11">
        <v>87</v>
      </c>
      <c r="K20" s="11">
        <v>84</v>
      </c>
      <c r="L20" s="11">
        <v>68</v>
      </c>
      <c r="M20" s="11">
        <v>23</v>
      </c>
      <c r="N20" s="11">
        <f t="shared" si="9"/>
        <v>91</v>
      </c>
      <c r="O20" s="11">
        <f t="shared" si="8"/>
        <v>348</v>
      </c>
      <c r="P20" s="11">
        <v>94</v>
      </c>
      <c r="Q20" s="11">
        <v>92</v>
      </c>
      <c r="R20" s="11">
        <v>90</v>
      </c>
      <c r="S20" s="11">
        <v>64</v>
      </c>
      <c r="T20" s="11">
        <v>34.5</v>
      </c>
      <c r="U20" s="11">
        <f t="shared" si="4"/>
        <v>98.5</v>
      </c>
      <c r="V20" s="11">
        <f t="shared" si="5"/>
        <v>374.5</v>
      </c>
    </row>
    <row r="21" s="11" customFormat="1" ht="16.5" spans="1:22">
      <c r="A21" s="58" t="s">
        <v>57</v>
      </c>
      <c r="B21" s="11">
        <v>94</v>
      </c>
      <c r="C21" s="11">
        <v>92</v>
      </c>
      <c r="D21" s="11">
        <v>80</v>
      </c>
      <c r="E21" s="11">
        <v>86</v>
      </c>
      <c r="F21" s="11">
        <v>40.5</v>
      </c>
      <c r="G21" s="11">
        <f t="shared" si="6"/>
        <v>126.5</v>
      </c>
      <c r="H21" s="11">
        <f t="shared" si="7"/>
        <v>392.5</v>
      </c>
      <c r="I21" s="11">
        <v>84</v>
      </c>
      <c r="J21" s="11">
        <v>91</v>
      </c>
      <c r="K21" s="11">
        <v>70</v>
      </c>
      <c r="L21" s="11">
        <v>87</v>
      </c>
      <c r="M21" s="11">
        <v>24</v>
      </c>
      <c r="N21" s="11">
        <f t="shared" si="9"/>
        <v>111</v>
      </c>
      <c r="O21" s="11">
        <f t="shared" si="8"/>
        <v>356</v>
      </c>
      <c r="P21" s="11">
        <v>96</v>
      </c>
      <c r="Q21" s="11">
        <v>89</v>
      </c>
      <c r="R21" s="11">
        <v>90</v>
      </c>
      <c r="S21" s="11">
        <v>78</v>
      </c>
      <c r="T21" s="11">
        <v>40.5</v>
      </c>
      <c r="U21" s="11">
        <f t="shared" si="4"/>
        <v>118.5</v>
      </c>
      <c r="V21" s="11">
        <f t="shared" si="5"/>
        <v>393.5</v>
      </c>
    </row>
    <row r="22" s="11" customFormat="1" ht="16.5" spans="1:22">
      <c r="A22" s="58" t="s">
        <v>58</v>
      </c>
      <c r="B22" s="11">
        <v>82</v>
      </c>
      <c r="C22" s="11">
        <v>94</v>
      </c>
      <c r="D22" s="11">
        <v>84</v>
      </c>
      <c r="E22" s="11">
        <v>105</v>
      </c>
      <c r="F22" s="11">
        <v>28.5</v>
      </c>
      <c r="G22" s="11">
        <f t="shared" si="6"/>
        <v>133.5</v>
      </c>
      <c r="H22" s="11">
        <f t="shared" si="7"/>
        <v>393.5</v>
      </c>
      <c r="I22" s="11">
        <v>82</v>
      </c>
      <c r="J22" s="11">
        <v>82</v>
      </c>
      <c r="K22" s="11">
        <v>72</v>
      </c>
      <c r="L22" s="11">
        <v>75</v>
      </c>
      <c r="M22" s="11">
        <v>22</v>
      </c>
      <c r="N22" s="11">
        <f t="shared" si="9"/>
        <v>97</v>
      </c>
      <c r="O22" s="11">
        <f t="shared" si="8"/>
        <v>333</v>
      </c>
      <c r="P22" s="11">
        <v>84</v>
      </c>
      <c r="Q22" s="11">
        <v>84</v>
      </c>
      <c r="R22" s="11">
        <v>88</v>
      </c>
      <c r="S22" s="11">
        <v>93</v>
      </c>
      <c r="T22" s="11">
        <v>36</v>
      </c>
      <c r="U22" s="11">
        <f t="shared" si="4"/>
        <v>129</v>
      </c>
      <c r="V22" s="11">
        <f t="shared" si="5"/>
        <v>385</v>
      </c>
    </row>
    <row r="23" s="11" customFormat="1" ht="16.5" spans="1:22">
      <c r="A23" s="58" t="s">
        <v>59</v>
      </c>
      <c r="B23" s="11">
        <v>78</v>
      </c>
      <c r="C23" s="11">
        <v>80</v>
      </c>
      <c r="D23" s="11">
        <v>82</v>
      </c>
      <c r="E23" s="11">
        <v>87</v>
      </c>
      <c r="F23" s="11">
        <v>34.5</v>
      </c>
      <c r="G23" s="11">
        <f t="shared" si="6"/>
        <v>121.5</v>
      </c>
      <c r="H23" s="11">
        <f t="shared" si="7"/>
        <v>361.5</v>
      </c>
      <c r="I23" s="11">
        <v>70</v>
      </c>
      <c r="J23" s="11">
        <v>80</v>
      </c>
      <c r="K23" s="11">
        <v>84</v>
      </c>
      <c r="L23" s="11">
        <v>66</v>
      </c>
      <c r="M23" s="11">
        <v>22</v>
      </c>
      <c r="N23" s="11">
        <f t="shared" si="9"/>
        <v>88</v>
      </c>
      <c r="O23" s="11">
        <f t="shared" si="8"/>
        <v>322</v>
      </c>
      <c r="P23" s="11">
        <v>82</v>
      </c>
      <c r="Q23" s="11">
        <v>82</v>
      </c>
      <c r="R23" s="11">
        <v>88</v>
      </c>
      <c r="S23" s="11">
        <v>83</v>
      </c>
      <c r="T23" s="11">
        <v>40.5</v>
      </c>
      <c r="U23" s="11">
        <f t="shared" si="4"/>
        <v>123.5</v>
      </c>
      <c r="V23" s="11">
        <f t="shared" si="5"/>
        <v>375.5</v>
      </c>
    </row>
    <row r="24" s="11" customFormat="1" ht="16.5" spans="1:22">
      <c r="A24" s="58" t="s">
        <v>60</v>
      </c>
      <c r="B24" s="11">
        <v>78</v>
      </c>
      <c r="C24" s="11">
        <v>95</v>
      </c>
      <c r="D24" s="11">
        <v>74</v>
      </c>
      <c r="E24" s="11">
        <v>84</v>
      </c>
      <c r="F24" s="11">
        <v>33</v>
      </c>
      <c r="G24" s="11">
        <f t="shared" si="6"/>
        <v>117</v>
      </c>
      <c r="H24" s="11">
        <f t="shared" si="7"/>
        <v>364</v>
      </c>
      <c r="I24" s="11">
        <v>64</v>
      </c>
      <c r="J24" s="11">
        <v>75</v>
      </c>
      <c r="K24" s="11">
        <v>68</v>
      </c>
      <c r="L24" s="11">
        <v>76</v>
      </c>
      <c r="M24" s="11">
        <v>24</v>
      </c>
      <c r="N24" s="11">
        <f t="shared" si="9"/>
        <v>100</v>
      </c>
      <c r="O24" s="11">
        <f t="shared" si="8"/>
        <v>307</v>
      </c>
      <c r="P24" s="11">
        <v>66</v>
      </c>
      <c r="Q24" s="11">
        <v>81</v>
      </c>
      <c r="R24" s="11">
        <v>68</v>
      </c>
      <c r="S24" s="11">
        <v>43</v>
      </c>
      <c r="T24" s="11">
        <v>31.5</v>
      </c>
      <c r="U24" s="11">
        <f t="shared" si="4"/>
        <v>74.5</v>
      </c>
      <c r="V24" s="11">
        <f t="shared" si="5"/>
        <v>289.5</v>
      </c>
    </row>
    <row r="25" s="11" customFormat="1" ht="16.5" spans="1:22">
      <c r="A25" s="58" t="s">
        <v>61</v>
      </c>
      <c r="B25" s="11">
        <v>72</v>
      </c>
      <c r="C25" s="11">
        <v>84</v>
      </c>
      <c r="D25" s="11">
        <v>76</v>
      </c>
      <c r="E25" s="11">
        <v>72</v>
      </c>
      <c r="F25" s="11">
        <v>34.5</v>
      </c>
      <c r="G25" s="11">
        <f t="shared" si="6"/>
        <v>106.5</v>
      </c>
      <c r="H25" s="11">
        <f t="shared" si="7"/>
        <v>338.5</v>
      </c>
      <c r="I25" s="11">
        <v>60</v>
      </c>
      <c r="J25" s="11">
        <v>53</v>
      </c>
      <c r="K25" s="11">
        <v>68</v>
      </c>
      <c r="L25" s="11">
        <v>52</v>
      </c>
      <c r="M25" s="11">
        <v>20</v>
      </c>
      <c r="N25" s="11">
        <f t="shared" si="9"/>
        <v>72</v>
      </c>
      <c r="O25" s="11">
        <f t="shared" si="8"/>
        <v>253</v>
      </c>
      <c r="P25" s="11">
        <v>78</v>
      </c>
      <c r="Q25" s="11">
        <v>82</v>
      </c>
      <c r="R25" s="11">
        <v>72</v>
      </c>
      <c r="S25" s="11">
        <v>41</v>
      </c>
      <c r="T25" s="11">
        <v>37.5</v>
      </c>
      <c r="U25" s="11">
        <f t="shared" si="4"/>
        <v>78.5</v>
      </c>
      <c r="V25" s="11">
        <f t="shared" si="5"/>
        <v>310.5</v>
      </c>
    </row>
    <row r="26" s="11" customFormat="1" ht="16.5" spans="1:22">
      <c r="A26" s="58" t="s">
        <v>62</v>
      </c>
      <c r="B26" s="11">
        <v>86</v>
      </c>
      <c r="C26" s="11">
        <v>86</v>
      </c>
      <c r="D26" s="11">
        <v>73</v>
      </c>
      <c r="E26" s="11">
        <v>91</v>
      </c>
      <c r="F26" s="11">
        <v>34.5</v>
      </c>
      <c r="G26" s="11">
        <f t="shared" si="6"/>
        <v>125.5</v>
      </c>
      <c r="H26" s="11">
        <f t="shared" si="7"/>
        <v>370.5</v>
      </c>
      <c r="I26" s="11">
        <v>74</v>
      </c>
      <c r="J26" s="11">
        <v>78</v>
      </c>
      <c r="K26" s="11">
        <v>80</v>
      </c>
      <c r="L26" s="11">
        <v>67</v>
      </c>
      <c r="M26" s="11">
        <v>21</v>
      </c>
      <c r="N26" s="11">
        <f t="shared" si="9"/>
        <v>88</v>
      </c>
      <c r="O26" s="11">
        <f t="shared" si="8"/>
        <v>320</v>
      </c>
      <c r="P26" s="11">
        <v>90</v>
      </c>
      <c r="Q26" s="11">
        <v>82</v>
      </c>
      <c r="R26" s="11">
        <v>88</v>
      </c>
      <c r="S26" s="11">
        <v>69</v>
      </c>
      <c r="T26" s="11">
        <v>42</v>
      </c>
      <c r="U26" s="11">
        <f t="shared" si="4"/>
        <v>111</v>
      </c>
      <c r="V26" s="11">
        <f t="shared" si="5"/>
        <v>371</v>
      </c>
    </row>
    <row r="27" s="11" customFormat="1" ht="16.5" spans="1:22">
      <c r="A27" s="58" t="s">
        <v>63</v>
      </c>
      <c r="B27" s="11">
        <v>66</v>
      </c>
      <c r="C27" s="11">
        <v>50</v>
      </c>
      <c r="D27" s="11">
        <v>59</v>
      </c>
      <c r="E27" s="11">
        <v>69</v>
      </c>
      <c r="F27" s="11">
        <v>31.5</v>
      </c>
      <c r="G27" s="11">
        <f t="shared" si="6"/>
        <v>100.5</v>
      </c>
      <c r="H27" s="11">
        <f t="shared" si="7"/>
        <v>275.5</v>
      </c>
      <c r="I27" s="11">
        <v>72</v>
      </c>
      <c r="J27" s="11">
        <v>46</v>
      </c>
      <c r="K27" s="11">
        <v>66</v>
      </c>
      <c r="L27" s="11">
        <v>39</v>
      </c>
      <c r="M27" s="11">
        <v>25</v>
      </c>
      <c r="N27" s="11">
        <f t="shared" ref="N27:N44" si="10">L27+M27</f>
        <v>64</v>
      </c>
      <c r="O27" s="11">
        <f t="shared" si="8"/>
        <v>248</v>
      </c>
      <c r="P27" s="11">
        <v>76</v>
      </c>
      <c r="Q27" s="11">
        <v>51</v>
      </c>
      <c r="R27" s="11">
        <v>76</v>
      </c>
      <c r="S27" s="11">
        <v>29</v>
      </c>
      <c r="T27" s="11">
        <v>34.5</v>
      </c>
      <c r="U27" s="11">
        <f t="shared" si="4"/>
        <v>63.5</v>
      </c>
      <c r="V27" s="11">
        <f t="shared" si="5"/>
        <v>266.5</v>
      </c>
    </row>
    <row r="28" s="11" customFormat="1" ht="16.5" spans="1:22">
      <c r="A28" s="59" t="s">
        <v>64</v>
      </c>
      <c r="B28" s="11">
        <v>76</v>
      </c>
      <c r="C28" s="11">
        <v>79</v>
      </c>
      <c r="D28" s="11">
        <v>63</v>
      </c>
      <c r="E28" s="11">
        <v>91</v>
      </c>
      <c r="F28" s="11">
        <v>34.5</v>
      </c>
      <c r="G28" s="11">
        <f t="shared" si="6"/>
        <v>125.5</v>
      </c>
      <c r="H28" s="11">
        <f t="shared" si="7"/>
        <v>343.5</v>
      </c>
      <c r="I28" s="11">
        <v>72</v>
      </c>
      <c r="J28" s="11">
        <v>76</v>
      </c>
      <c r="K28" s="11">
        <v>88</v>
      </c>
      <c r="L28" s="11">
        <v>70</v>
      </c>
      <c r="M28" s="11">
        <v>27</v>
      </c>
      <c r="N28" s="11">
        <f t="shared" si="10"/>
        <v>97</v>
      </c>
      <c r="O28" s="11">
        <f t="shared" si="8"/>
        <v>333</v>
      </c>
      <c r="P28" s="11">
        <v>82</v>
      </c>
      <c r="Q28" s="11">
        <v>92</v>
      </c>
      <c r="R28" s="11">
        <v>92</v>
      </c>
      <c r="S28" s="11">
        <v>90</v>
      </c>
      <c r="T28" s="11">
        <v>40.5</v>
      </c>
      <c r="U28" s="11">
        <f t="shared" si="4"/>
        <v>130.5</v>
      </c>
      <c r="V28" s="11">
        <f t="shared" si="5"/>
        <v>396.5</v>
      </c>
    </row>
    <row r="29" s="11" customFormat="1" ht="16.5" spans="1:22">
      <c r="A29" s="59" t="s">
        <v>65</v>
      </c>
      <c r="B29" s="11">
        <v>86</v>
      </c>
      <c r="C29" s="11">
        <v>76</v>
      </c>
      <c r="D29" s="11">
        <v>71</v>
      </c>
      <c r="E29" s="11">
        <v>80</v>
      </c>
      <c r="F29" s="11">
        <v>36</v>
      </c>
      <c r="G29" s="11">
        <f t="shared" si="6"/>
        <v>116</v>
      </c>
      <c r="H29" s="11">
        <f t="shared" si="7"/>
        <v>349</v>
      </c>
      <c r="I29" s="11">
        <v>74</v>
      </c>
      <c r="J29" s="11">
        <v>77</v>
      </c>
      <c r="K29" s="11">
        <v>82</v>
      </c>
      <c r="L29" s="11">
        <v>68</v>
      </c>
      <c r="M29" s="11">
        <v>26</v>
      </c>
      <c r="N29" s="11">
        <f t="shared" si="10"/>
        <v>94</v>
      </c>
      <c r="O29" s="11">
        <f t="shared" si="8"/>
        <v>327</v>
      </c>
      <c r="P29" s="11">
        <v>74</v>
      </c>
      <c r="Q29" s="11">
        <v>79</v>
      </c>
      <c r="R29" s="11">
        <v>84</v>
      </c>
      <c r="S29" s="11">
        <v>72</v>
      </c>
      <c r="T29" s="11">
        <v>39</v>
      </c>
      <c r="U29" s="11">
        <f t="shared" si="4"/>
        <v>111</v>
      </c>
      <c r="V29" s="11">
        <f t="shared" si="5"/>
        <v>348</v>
      </c>
    </row>
    <row r="30" s="11" customFormat="1" ht="16.5" spans="1:22">
      <c r="A30" s="59" t="s">
        <v>66</v>
      </c>
      <c r="B30" s="11">
        <v>86</v>
      </c>
      <c r="C30" s="11">
        <v>61</v>
      </c>
      <c r="D30" s="11">
        <v>56</v>
      </c>
      <c r="E30" s="11">
        <v>83</v>
      </c>
      <c r="F30" s="11">
        <v>30</v>
      </c>
      <c r="G30" s="11">
        <f t="shared" si="6"/>
        <v>113</v>
      </c>
      <c r="H30" s="11">
        <f t="shared" si="7"/>
        <v>316</v>
      </c>
      <c r="I30" s="11">
        <v>86</v>
      </c>
      <c r="J30" s="11">
        <v>66</v>
      </c>
      <c r="K30" s="11">
        <v>82</v>
      </c>
      <c r="L30" s="11">
        <v>48</v>
      </c>
      <c r="M30" s="11">
        <v>19</v>
      </c>
      <c r="N30" s="11">
        <f t="shared" si="10"/>
        <v>67</v>
      </c>
      <c r="O30" s="11">
        <f t="shared" si="8"/>
        <v>301</v>
      </c>
      <c r="P30" s="11">
        <v>82</v>
      </c>
      <c r="Q30" s="11">
        <v>61</v>
      </c>
      <c r="R30" s="11">
        <v>86</v>
      </c>
      <c r="S30" s="11">
        <v>34</v>
      </c>
      <c r="T30" s="11">
        <v>36</v>
      </c>
      <c r="U30" s="11">
        <f t="shared" si="4"/>
        <v>70</v>
      </c>
      <c r="V30" s="11">
        <f t="shared" si="5"/>
        <v>299</v>
      </c>
    </row>
    <row r="31" s="11" customFormat="1" ht="16.5" spans="1:22">
      <c r="A31" s="58" t="s">
        <v>67</v>
      </c>
      <c r="B31" s="11">
        <v>84</v>
      </c>
      <c r="C31" s="11">
        <v>86</v>
      </c>
      <c r="D31" s="11">
        <v>62</v>
      </c>
      <c r="E31" s="11">
        <v>91</v>
      </c>
      <c r="F31" s="11">
        <v>25.5</v>
      </c>
      <c r="G31" s="11">
        <f t="shared" si="6"/>
        <v>116.5</v>
      </c>
      <c r="H31" s="11">
        <f t="shared" si="7"/>
        <v>348.5</v>
      </c>
      <c r="I31" s="11">
        <v>74</v>
      </c>
      <c r="J31" s="11">
        <v>72</v>
      </c>
      <c r="K31" s="11">
        <v>74</v>
      </c>
      <c r="L31" s="11">
        <v>44</v>
      </c>
      <c r="M31" s="11">
        <v>27</v>
      </c>
      <c r="N31" s="11">
        <f t="shared" si="10"/>
        <v>71</v>
      </c>
      <c r="O31" s="11">
        <f t="shared" si="8"/>
        <v>291</v>
      </c>
      <c r="P31" s="11">
        <v>76</v>
      </c>
      <c r="Q31" s="11">
        <v>75</v>
      </c>
      <c r="R31" s="11">
        <v>68</v>
      </c>
      <c r="S31" s="11">
        <v>69</v>
      </c>
      <c r="T31" s="11">
        <v>40.5</v>
      </c>
      <c r="U31" s="11">
        <f t="shared" si="4"/>
        <v>109.5</v>
      </c>
      <c r="V31" s="11">
        <f t="shared" si="5"/>
        <v>328.5</v>
      </c>
    </row>
    <row r="32" s="11" customFormat="1" ht="16.5" spans="1:22">
      <c r="A32" s="58" t="s">
        <v>68</v>
      </c>
      <c r="B32" s="11">
        <v>74</v>
      </c>
      <c r="C32" s="11">
        <v>89</v>
      </c>
      <c r="D32" s="11">
        <v>88</v>
      </c>
      <c r="E32" s="11">
        <v>102</v>
      </c>
      <c r="F32" s="11">
        <v>43.5</v>
      </c>
      <c r="G32" s="11">
        <f t="shared" si="6"/>
        <v>145.5</v>
      </c>
      <c r="H32" s="11">
        <f t="shared" si="7"/>
        <v>396.5</v>
      </c>
      <c r="I32" s="11">
        <v>82</v>
      </c>
      <c r="J32" s="11">
        <v>93</v>
      </c>
      <c r="K32" s="11">
        <v>86</v>
      </c>
      <c r="L32" s="11">
        <v>97</v>
      </c>
      <c r="M32" s="11">
        <v>23</v>
      </c>
      <c r="N32" s="11">
        <f t="shared" si="10"/>
        <v>120</v>
      </c>
      <c r="O32" s="11">
        <f t="shared" si="8"/>
        <v>381</v>
      </c>
      <c r="P32" s="10"/>
      <c r="Q32" s="10"/>
      <c r="R32" s="10"/>
      <c r="S32" s="10"/>
      <c r="T32" s="10"/>
      <c r="U32" s="10"/>
      <c r="V32" s="10"/>
    </row>
    <row r="33" s="11" customFormat="1" ht="16.5" spans="1:23">
      <c r="A33" s="58" t="s">
        <v>69</v>
      </c>
      <c r="B33" s="11">
        <v>94</v>
      </c>
      <c r="C33" s="11">
        <v>96</v>
      </c>
      <c r="D33" s="11">
        <v>70</v>
      </c>
      <c r="E33" s="11">
        <v>94</v>
      </c>
      <c r="F33" s="11">
        <v>33</v>
      </c>
      <c r="G33" s="11">
        <f t="shared" si="6"/>
        <v>127</v>
      </c>
      <c r="H33" s="11">
        <f t="shared" si="7"/>
        <v>387</v>
      </c>
      <c r="I33" s="11">
        <v>82</v>
      </c>
      <c r="J33" s="11">
        <v>85</v>
      </c>
      <c r="K33" s="11">
        <v>62</v>
      </c>
      <c r="L33" s="11">
        <v>67</v>
      </c>
      <c r="M33" s="11">
        <v>22</v>
      </c>
      <c r="N33" s="11">
        <f t="shared" si="10"/>
        <v>89</v>
      </c>
      <c r="O33" s="11">
        <f t="shared" si="8"/>
        <v>318</v>
      </c>
      <c r="P33" s="11">
        <v>98</v>
      </c>
      <c r="Q33" s="11">
        <v>85</v>
      </c>
      <c r="R33" s="11">
        <v>88</v>
      </c>
      <c r="S33" s="11">
        <v>85</v>
      </c>
      <c r="T33" s="11">
        <v>42</v>
      </c>
      <c r="U33" s="11">
        <f t="shared" si="4"/>
        <v>127</v>
      </c>
      <c r="V33" s="11">
        <f t="shared" si="5"/>
        <v>398</v>
      </c>
    </row>
    <row r="34" s="11" customFormat="1" ht="16.5" spans="1:23">
      <c r="A34" s="58" t="s">
        <v>70</v>
      </c>
      <c r="B34" s="11">
        <v>84</v>
      </c>
      <c r="C34" s="11">
        <v>89</v>
      </c>
      <c r="D34" s="11">
        <v>57</v>
      </c>
      <c r="E34" s="11">
        <v>86</v>
      </c>
      <c r="F34" s="11">
        <v>22.5</v>
      </c>
      <c r="G34" s="11">
        <f t="shared" si="6"/>
        <v>108.5</v>
      </c>
      <c r="H34" s="11">
        <f t="shared" si="7"/>
        <v>338.5</v>
      </c>
      <c r="I34" s="11">
        <v>70</v>
      </c>
      <c r="J34" s="11">
        <v>79</v>
      </c>
      <c r="K34" s="11">
        <v>64</v>
      </c>
      <c r="L34" s="11">
        <v>57</v>
      </c>
      <c r="M34" s="11">
        <v>18</v>
      </c>
      <c r="N34" s="11">
        <f t="shared" si="10"/>
        <v>75</v>
      </c>
      <c r="O34" s="11">
        <f t="shared" si="8"/>
        <v>288</v>
      </c>
      <c r="P34" s="11">
        <v>74</v>
      </c>
      <c r="Q34" s="11">
        <v>86</v>
      </c>
      <c r="R34" s="11">
        <v>68</v>
      </c>
      <c r="S34" s="11">
        <v>57</v>
      </c>
      <c r="T34" s="11">
        <v>28.5</v>
      </c>
      <c r="U34" s="11">
        <f t="shared" si="4"/>
        <v>85.5</v>
      </c>
      <c r="V34" s="11">
        <f t="shared" si="5"/>
        <v>313.5</v>
      </c>
    </row>
    <row r="35" s="11" customFormat="1" ht="16.5" spans="1:23">
      <c r="A35" s="58" t="s">
        <v>71</v>
      </c>
      <c r="B35" s="11">
        <v>62</v>
      </c>
      <c r="C35" s="11">
        <v>63</v>
      </c>
      <c r="D35" s="11">
        <v>42</v>
      </c>
      <c r="E35" s="11">
        <v>71</v>
      </c>
      <c r="F35" s="11">
        <v>28.5</v>
      </c>
      <c r="G35" s="11">
        <f t="shared" si="6"/>
        <v>99.5</v>
      </c>
      <c r="H35" s="11">
        <f t="shared" si="7"/>
        <v>266.5</v>
      </c>
      <c r="I35" s="11">
        <v>76</v>
      </c>
      <c r="J35" s="11">
        <v>57</v>
      </c>
      <c r="K35" s="11">
        <v>72</v>
      </c>
      <c r="L35" s="11">
        <v>17</v>
      </c>
      <c r="M35" s="11">
        <v>23</v>
      </c>
      <c r="N35" s="11">
        <f t="shared" si="10"/>
        <v>40</v>
      </c>
      <c r="O35" s="11">
        <f t="shared" si="8"/>
        <v>245</v>
      </c>
      <c r="P35" s="11">
        <v>64</v>
      </c>
      <c r="Q35" s="11">
        <v>45</v>
      </c>
      <c r="R35" s="11">
        <v>64</v>
      </c>
      <c r="S35" s="11">
        <v>49</v>
      </c>
      <c r="T35" s="11">
        <v>28.5</v>
      </c>
      <c r="U35" s="11">
        <f t="shared" si="4"/>
        <v>77.5</v>
      </c>
      <c r="V35" s="11">
        <f t="shared" si="5"/>
        <v>250.5</v>
      </c>
    </row>
    <row r="36" s="11" customFormat="1" ht="16.5" spans="1:23">
      <c r="A36" s="58" t="s">
        <v>72</v>
      </c>
      <c r="B36" s="11">
        <v>92</v>
      </c>
      <c r="C36" s="11">
        <v>92</v>
      </c>
      <c r="D36" s="11">
        <v>63</v>
      </c>
      <c r="E36" s="11">
        <v>91</v>
      </c>
      <c r="F36" s="11">
        <v>33</v>
      </c>
      <c r="G36" s="11">
        <f t="shared" si="6"/>
        <v>124</v>
      </c>
      <c r="H36" s="11">
        <f t="shared" si="7"/>
        <v>371</v>
      </c>
      <c r="I36" s="11">
        <v>80</v>
      </c>
      <c r="J36" s="11">
        <v>88</v>
      </c>
      <c r="K36" s="11">
        <v>62</v>
      </c>
      <c r="L36" s="11">
        <v>65</v>
      </c>
      <c r="M36" s="11">
        <v>25</v>
      </c>
      <c r="N36" s="11">
        <f t="shared" si="10"/>
        <v>90</v>
      </c>
      <c r="O36" s="11">
        <f t="shared" si="8"/>
        <v>320</v>
      </c>
      <c r="P36" s="11">
        <v>94</v>
      </c>
      <c r="Q36" s="11">
        <v>89</v>
      </c>
      <c r="R36" s="11">
        <v>86</v>
      </c>
      <c r="S36" s="11">
        <v>59</v>
      </c>
      <c r="T36" s="11">
        <v>42</v>
      </c>
      <c r="U36" s="11">
        <f t="shared" si="4"/>
        <v>101</v>
      </c>
      <c r="V36" s="11">
        <f t="shared" si="5"/>
        <v>370</v>
      </c>
    </row>
    <row r="37" s="11" customFormat="1" ht="16.5" spans="1:23">
      <c r="A37" s="58" t="s">
        <v>73</v>
      </c>
      <c r="B37" s="11">
        <v>68</v>
      </c>
      <c r="C37" s="11">
        <v>62</v>
      </c>
      <c r="D37" s="11">
        <v>51</v>
      </c>
      <c r="E37" s="11">
        <v>96</v>
      </c>
      <c r="F37" s="11">
        <v>31.5</v>
      </c>
      <c r="G37" s="11">
        <f t="shared" si="6"/>
        <v>127.5</v>
      </c>
      <c r="H37" s="11">
        <f t="shared" si="7"/>
        <v>308.5</v>
      </c>
      <c r="I37" s="11">
        <v>88</v>
      </c>
      <c r="J37" s="11">
        <v>65</v>
      </c>
      <c r="K37" s="11">
        <v>62</v>
      </c>
      <c r="L37" s="11">
        <v>65</v>
      </c>
      <c r="M37" s="11">
        <v>23</v>
      </c>
      <c r="N37" s="11">
        <f t="shared" si="10"/>
        <v>88</v>
      </c>
      <c r="O37" s="11">
        <f t="shared" si="8"/>
        <v>303</v>
      </c>
      <c r="P37" s="11">
        <v>74</v>
      </c>
      <c r="Q37" s="11">
        <v>58</v>
      </c>
      <c r="R37" s="11">
        <v>76</v>
      </c>
      <c r="S37" s="11">
        <v>48</v>
      </c>
      <c r="T37" s="11">
        <v>37.5</v>
      </c>
      <c r="U37" s="11">
        <f t="shared" si="4"/>
        <v>85.5</v>
      </c>
      <c r="V37" s="11">
        <f t="shared" si="5"/>
        <v>293.5</v>
      </c>
    </row>
    <row r="38" s="11" customFormat="1" ht="16.5" spans="1:23">
      <c r="A38" s="59" t="s">
        <v>74</v>
      </c>
      <c r="B38" s="11">
        <v>66</v>
      </c>
      <c r="C38" s="11">
        <v>69</v>
      </c>
      <c r="D38" s="11">
        <v>68</v>
      </c>
      <c r="E38" s="11">
        <v>92</v>
      </c>
      <c r="F38" s="11">
        <v>33</v>
      </c>
      <c r="G38" s="11">
        <f t="shared" si="6"/>
        <v>125</v>
      </c>
      <c r="H38" s="11">
        <f t="shared" si="7"/>
        <v>328</v>
      </c>
      <c r="I38" s="11">
        <v>58</v>
      </c>
      <c r="J38" s="11">
        <v>78</v>
      </c>
      <c r="K38" s="11">
        <v>56</v>
      </c>
      <c r="L38" s="11">
        <v>59</v>
      </c>
      <c r="M38" s="11">
        <v>27</v>
      </c>
      <c r="N38" s="11">
        <f t="shared" si="10"/>
        <v>86</v>
      </c>
      <c r="O38" s="11">
        <f t="shared" si="8"/>
        <v>278</v>
      </c>
      <c r="P38" s="11">
        <v>68</v>
      </c>
      <c r="Q38" s="11">
        <v>63</v>
      </c>
      <c r="R38" s="11">
        <v>76</v>
      </c>
      <c r="S38" s="11">
        <v>44</v>
      </c>
      <c r="T38" s="11">
        <v>37.5</v>
      </c>
      <c r="U38" s="11">
        <f t="shared" si="4"/>
        <v>81.5</v>
      </c>
      <c r="V38" s="11">
        <f t="shared" si="5"/>
        <v>288.5</v>
      </c>
    </row>
    <row r="39" s="11" customFormat="1" ht="16.5" spans="1:23">
      <c r="A39" s="59" t="s">
        <v>75</v>
      </c>
      <c r="B39" s="11">
        <v>76</v>
      </c>
      <c r="C39" s="11">
        <v>85</v>
      </c>
      <c r="D39" s="11">
        <v>78</v>
      </c>
      <c r="E39" s="11">
        <v>91</v>
      </c>
      <c r="F39" s="11">
        <v>34.5</v>
      </c>
      <c r="G39" s="11">
        <f t="shared" si="6"/>
        <v>125.5</v>
      </c>
      <c r="H39" s="11">
        <f t="shared" si="7"/>
        <v>364.5</v>
      </c>
      <c r="I39" s="11">
        <v>58</v>
      </c>
      <c r="J39" s="11">
        <v>87</v>
      </c>
      <c r="K39" s="11">
        <v>78</v>
      </c>
      <c r="L39" s="11">
        <v>80</v>
      </c>
      <c r="M39" s="11">
        <v>24</v>
      </c>
      <c r="N39" s="11">
        <f t="shared" si="10"/>
        <v>104</v>
      </c>
      <c r="O39" s="11">
        <f t="shared" si="8"/>
        <v>327</v>
      </c>
      <c r="P39" s="11">
        <v>72</v>
      </c>
      <c r="Q39" s="11">
        <v>75</v>
      </c>
      <c r="R39" s="11">
        <v>82</v>
      </c>
      <c r="S39" s="11">
        <v>80</v>
      </c>
      <c r="T39" s="11">
        <v>37.5</v>
      </c>
      <c r="U39" s="11">
        <f t="shared" si="4"/>
        <v>117.5</v>
      </c>
      <c r="V39" s="11">
        <f t="shared" si="5"/>
        <v>346.5</v>
      </c>
    </row>
    <row r="40" s="11" customFormat="1" ht="16.5" spans="1:23">
      <c r="A40" s="59" t="s">
        <v>76</v>
      </c>
      <c r="B40" s="11">
        <v>70</v>
      </c>
      <c r="C40" s="11">
        <v>76</v>
      </c>
      <c r="D40" s="11">
        <v>73</v>
      </c>
      <c r="E40" s="11">
        <v>91</v>
      </c>
      <c r="F40" s="11">
        <v>31.5</v>
      </c>
      <c r="G40" s="11">
        <f t="shared" si="6"/>
        <v>122.5</v>
      </c>
      <c r="H40" s="11">
        <f t="shared" si="7"/>
        <v>341.5</v>
      </c>
      <c r="I40" s="11">
        <v>76</v>
      </c>
      <c r="J40" s="11">
        <v>89</v>
      </c>
      <c r="K40" s="11">
        <v>76</v>
      </c>
      <c r="L40" s="11">
        <v>40</v>
      </c>
      <c r="M40" s="11">
        <v>26</v>
      </c>
      <c r="N40" s="11">
        <f t="shared" si="10"/>
        <v>66</v>
      </c>
      <c r="O40" s="11">
        <f t="shared" si="8"/>
        <v>307</v>
      </c>
      <c r="P40" s="11">
        <v>80</v>
      </c>
      <c r="Q40" s="11">
        <v>60</v>
      </c>
      <c r="R40" s="11">
        <v>80</v>
      </c>
      <c r="S40" s="11">
        <v>42</v>
      </c>
      <c r="T40" s="11">
        <v>37.5</v>
      </c>
      <c r="U40" s="11">
        <f t="shared" si="4"/>
        <v>79.5</v>
      </c>
      <c r="V40" s="11">
        <f t="shared" si="5"/>
        <v>299.5</v>
      </c>
    </row>
    <row r="41" s="11" customFormat="1" ht="16.5" spans="1:23">
      <c r="A41" s="58" t="s">
        <v>77</v>
      </c>
      <c r="B41" s="11">
        <v>94</v>
      </c>
      <c r="C41" s="11">
        <v>91</v>
      </c>
      <c r="D41" s="11">
        <v>85</v>
      </c>
      <c r="E41" s="11">
        <v>89</v>
      </c>
      <c r="F41" s="11">
        <v>36</v>
      </c>
      <c r="G41" s="11">
        <f t="shared" si="6"/>
        <v>125</v>
      </c>
      <c r="H41" s="11">
        <f t="shared" si="7"/>
        <v>395</v>
      </c>
      <c r="I41" s="11">
        <v>72</v>
      </c>
      <c r="J41" s="11">
        <v>87</v>
      </c>
      <c r="K41" s="11">
        <v>70</v>
      </c>
      <c r="L41" s="11">
        <v>82</v>
      </c>
      <c r="M41" s="11">
        <v>29</v>
      </c>
      <c r="N41" s="11">
        <f t="shared" si="10"/>
        <v>111</v>
      </c>
      <c r="O41" s="11">
        <f t="shared" si="8"/>
        <v>340</v>
      </c>
      <c r="P41" s="11">
        <v>90</v>
      </c>
      <c r="Q41" s="11">
        <v>80</v>
      </c>
      <c r="R41" s="11">
        <v>60</v>
      </c>
      <c r="S41" s="11">
        <v>70</v>
      </c>
      <c r="T41" s="11">
        <v>39</v>
      </c>
      <c r="U41" s="11">
        <f t="shared" si="4"/>
        <v>109</v>
      </c>
      <c r="V41" s="11">
        <f t="shared" si="5"/>
        <v>339</v>
      </c>
    </row>
    <row r="42" s="11" customFormat="1" ht="16.5" spans="1:23">
      <c r="A42" s="58" t="s">
        <v>78</v>
      </c>
      <c r="B42" s="11">
        <v>70</v>
      </c>
      <c r="C42" s="11">
        <v>72</v>
      </c>
      <c r="D42" s="11">
        <v>66</v>
      </c>
      <c r="E42" s="11">
        <v>77</v>
      </c>
      <c r="F42" s="11">
        <v>33</v>
      </c>
      <c r="G42" s="11">
        <f t="shared" si="6"/>
        <v>110</v>
      </c>
      <c r="H42" s="11">
        <f t="shared" si="7"/>
        <v>318</v>
      </c>
      <c r="I42" s="11">
        <v>66</v>
      </c>
      <c r="J42" s="11">
        <v>50</v>
      </c>
      <c r="K42" s="11">
        <v>52</v>
      </c>
      <c r="L42" s="11">
        <v>38</v>
      </c>
      <c r="M42" s="11">
        <v>18</v>
      </c>
      <c r="N42" s="11">
        <f t="shared" si="10"/>
        <v>56</v>
      </c>
      <c r="O42" s="11">
        <f t="shared" si="8"/>
        <v>224</v>
      </c>
      <c r="P42" s="10"/>
      <c r="Q42" s="10"/>
      <c r="R42" s="10"/>
      <c r="S42" s="10"/>
      <c r="T42" s="10"/>
      <c r="U42" s="10"/>
      <c r="V42" s="10"/>
    </row>
    <row r="43" s="11" customFormat="1" ht="16.5" spans="1:23">
      <c r="A43" s="58" t="s">
        <v>79</v>
      </c>
      <c r="B43" s="11">
        <v>68</v>
      </c>
      <c r="C43" s="11">
        <v>89</v>
      </c>
      <c r="D43" s="11">
        <v>43</v>
      </c>
      <c r="E43" s="11">
        <v>75</v>
      </c>
      <c r="F43" s="11">
        <v>27</v>
      </c>
      <c r="G43" s="11">
        <f t="shared" si="6"/>
        <v>102</v>
      </c>
      <c r="H43" s="11">
        <f t="shared" si="7"/>
        <v>302</v>
      </c>
      <c r="I43" s="11">
        <v>78</v>
      </c>
      <c r="J43" s="11">
        <v>83</v>
      </c>
      <c r="K43" s="11">
        <v>72</v>
      </c>
      <c r="L43" s="11">
        <v>56</v>
      </c>
      <c r="M43" s="11">
        <v>19</v>
      </c>
      <c r="N43" s="11">
        <f t="shared" si="10"/>
        <v>75</v>
      </c>
      <c r="O43" s="11">
        <f t="shared" si="8"/>
        <v>308</v>
      </c>
      <c r="P43" s="11">
        <v>78</v>
      </c>
      <c r="Q43" s="11">
        <v>75</v>
      </c>
      <c r="R43" s="11">
        <v>76</v>
      </c>
      <c r="S43" s="11">
        <v>81</v>
      </c>
      <c r="T43" s="11">
        <v>33</v>
      </c>
      <c r="U43" s="11">
        <f t="shared" si="4"/>
        <v>114</v>
      </c>
      <c r="V43" s="11">
        <f t="shared" si="5"/>
        <v>343</v>
      </c>
    </row>
    <row r="44" s="11" customFormat="1" ht="16.5" spans="1:23">
      <c r="A44" s="58" t="s">
        <v>80</v>
      </c>
      <c r="B44" s="11">
        <v>66</v>
      </c>
      <c r="C44" s="11">
        <v>71</v>
      </c>
      <c r="D44" s="11">
        <v>71</v>
      </c>
      <c r="E44" s="11">
        <v>77</v>
      </c>
      <c r="F44" s="11">
        <v>28.5</v>
      </c>
      <c r="G44" s="11">
        <f t="shared" si="6"/>
        <v>105.5</v>
      </c>
      <c r="H44" s="11">
        <f t="shared" si="7"/>
        <v>313.5</v>
      </c>
      <c r="I44" s="11">
        <v>72</v>
      </c>
      <c r="J44" s="11">
        <v>72</v>
      </c>
      <c r="K44" s="11">
        <v>58</v>
      </c>
      <c r="L44" s="11">
        <v>73</v>
      </c>
      <c r="M44" s="11">
        <v>17</v>
      </c>
      <c r="N44" s="11">
        <f t="shared" si="10"/>
        <v>90</v>
      </c>
      <c r="O44" s="11">
        <f t="shared" si="8"/>
        <v>292</v>
      </c>
      <c r="P44" s="11">
        <v>68</v>
      </c>
      <c r="Q44" s="11">
        <v>83</v>
      </c>
      <c r="R44" s="11">
        <v>58</v>
      </c>
      <c r="S44" s="11">
        <v>69</v>
      </c>
      <c r="T44" s="11">
        <v>27</v>
      </c>
      <c r="U44" s="11">
        <f t="shared" si="4"/>
        <v>96</v>
      </c>
      <c r="V44" s="11">
        <f t="shared" si="5"/>
        <v>305</v>
      </c>
    </row>
    <row r="45" s="11" customFormat="1" ht="16.5" spans="1:23">
      <c r="A45" s="58" t="s">
        <v>81</v>
      </c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</row>
    <row r="46" spans="1:23">
      <c r="H46" s="11"/>
    </row>
  </sheetData>
  <sheetProtection formatCells="0" formatColumns="0" formatRows="0" insertRows="0" insertColumns="0" insertHyperlinks="0" deleteColumns="0" deleteRows="0" sort="0" autoFilter="0" pivotTables="0"/>
  <mergeCells count="3">
    <mergeCell ref="B1:H1"/>
    <mergeCell ref="I1:O1"/>
    <mergeCell ref="P1:V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46"/>
  <sheetViews>
    <sheetView zoomScale="145" zoomScaleNormal="145" workbookViewId="0">
      <selection activeCell="G2" sqref="G2"/>
    </sheetView>
  </sheetViews>
  <sheetFormatPr defaultColWidth="9.62727272727273" defaultRowHeight="14"/>
  <cols>
    <col min="1" max="1" width="8.12727272727273" customWidth="1"/>
    <col min="2" max="3" width="5.25454545454545" customWidth="1"/>
    <col min="4" max="4" width="9" customWidth="1"/>
    <col min="5" max="5" width="5.25454545454545" customWidth="1"/>
    <col min="6" max="6" width="5.5" customWidth="1"/>
    <col min="7" max="8" width="6.5" customWidth="1"/>
    <col min="9" max="10" width="5.87272727272727" customWidth="1"/>
    <col min="11" max="11" width="10.1272727272727" customWidth="1"/>
    <col min="12" max="17" width="5.87272727272727" customWidth="1"/>
    <col min="18" max="18" width="10.1272727272727" customWidth="1"/>
    <col min="19" max="20" width="5.87272727272727" customWidth="1"/>
    <col min="21" max="22" width="6.5" customWidth="1"/>
  </cols>
  <sheetData>
    <row r="1" ht="17.5" spans="1:52">
      <c r="A1" s="19"/>
      <c r="B1" s="11" t="s">
        <v>0</v>
      </c>
      <c r="C1" s="11"/>
      <c r="D1" s="11"/>
      <c r="E1" s="11"/>
      <c r="F1" s="11"/>
      <c r="G1" s="11"/>
      <c r="H1" s="11"/>
      <c r="I1" s="40" t="s">
        <v>1</v>
      </c>
      <c r="J1" s="41"/>
      <c r="K1" s="41"/>
      <c r="L1" s="41"/>
      <c r="M1" s="41"/>
      <c r="N1" s="41"/>
      <c r="O1" s="41"/>
      <c r="P1" s="40" t="s">
        <v>2</v>
      </c>
      <c r="Q1" s="41"/>
      <c r="R1" s="41"/>
      <c r="S1" s="41"/>
      <c r="T1" s="41"/>
      <c r="U1" s="41"/>
      <c r="V1" s="41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ht="17.5" spans="1:52">
      <c r="A2" s="20" t="s">
        <v>3</v>
      </c>
      <c r="B2" s="11" t="s">
        <v>4</v>
      </c>
      <c r="C2" s="11" t="s">
        <v>5</v>
      </c>
      <c r="D2" s="11" t="s">
        <v>6</v>
      </c>
      <c r="E2" s="11" t="s">
        <v>7</v>
      </c>
      <c r="F2" s="9" t="s">
        <v>8</v>
      </c>
      <c r="G2" s="42" t="s">
        <v>9</v>
      </c>
      <c r="H2" s="9" t="s">
        <v>10</v>
      </c>
      <c r="I2" s="41" t="s">
        <v>4</v>
      </c>
      <c r="J2" s="41" t="s">
        <v>5</v>
      </c>
      <c r="K2" s="41" t="s">
        <v>6</v>
      </c>
      <c r="L2" s="41" t="s">
        <v>7</v>
      </c>
      <c r="M2" s="43" t="s">
        <v>38</v>
      </c>
      <c r="N2" s="42" t="s">
        <v>9</v>
      </c>
      <c r="O2" s="42" t="s">
        <v>10</v>
      </c>
      <c r="P2" s="41" t="s">
        <v>4</v>
      </c>
      <c r="Q2" s="41" t="s">
        <v>5</v>
      </c>
      <c r="R2" s="41" t="s">
        <v>6</v>
      </c>
      <c r="S2" s="41" t="s">
        <v>7</v>
      </c>
      <c r="T2" s="43" t="s">
        <v>38</v>
      </c>
      <c r="U2" s="42" t="s">
        <v>9</v>
      </c>
      <c r="V2" s="42" t="s">
        <v>10</v>
      </c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spans="1:52">
      <c r="A3" s="44" t="s">
        <v>82</v>
      </c>
      <c r="B3" s="9">
        <v>90</v>
      </c>
      <c r="C3" s="9">
        <v>100</v>
      </c>
      <c r="D3" s="9">
        <v>70</v>
      </c>
      <c r="E3" s="9">
        <v>90</v>
      </c>
      <c r="F3" s="9">
        <v>37.5</v>
      </c>
      <c r="G3" s="9">
        <f t="shared" ref="G3:G20" si="0">SUM(E3:F3)</f>
        <v>127.5</v>
      </c>
      <c r="H3" s="9">
        <f t="shared" ref="H3:H20" si="1">SUM(B3:F3)</f>
        <v>387.5</v>
      </c>
      <c r="I3" s="9">
        <v>90</v>
      </c>
      <c r="J3" s="9">
        <v>98</v>
      </c>
      <c r="K3" s="9">
        <v>90</v>
      </c>
      <c r="L3" s="9">
        <v>95</v>
      </c>
      <c r="M3" s="9">
        <v>29</v>
      </c>
      <c r="N3" s="16">
        <f>SUM(L3:M3)</f>
        <v>124</v>
      </c>
      <c r="O3" s="9">
        <f t="shared" ref="O3:O19" si="2">SUM(I3:M3)</f>
        <v>402</v>
      </c>
      <c r="P3" s="45">
        <v>90</v>
      </c>
      <c r="Q3" s="9">
        <v>96</v>
      </c>
      <c r="R3" s="9">
        <v>96</v>
      </c>
      <c r="S3" s="9">
        <v>92</v>
      </c>
      <c r="T3" s="9">
        <v>34.5</v>
      </c>
      <c r="U3" s="9">
        <f>SUM(S3:T3)</f>
        <v>126.5</v>
      </c>
      <c r="V3" s="9">
        <f>SUM(P3:T3)</f>
        <v>408.5</v>
      </c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spans="1:52">
      <c r="A4" s="44" t="s">
        <v>83</v>
      </c>
      <c r="B4" s="9">
        <v>94</v>
      </c>
      <c r="C4" s="9">
        <v>98</v>
      </c>
      <c r="D4" s="9">
        <v>61</v>
      </c>
      <c r="E4" s="9">
        <v>84</v>
      </c>
      <c r="F4" s="9">
        <v>28.5</v>
      </c>
      <c r="G4" s="9">
        <f t="shared" si="0"/>
        <v>112.5</v>
      </c>
      <c r="H4" s="9">
        <f t="shared" si="1"/>
        <v>365.5</v>
      </c>
      <c r="I4" s="9">
        <v>84</v>
      </c>
      <c r="J4" s="9">
        <v>89</v>
      </c>
      <c r="K4" s="9">
        <v>80</v>
      </c>
      <c r="L4" s="9">
        <v>81</v>
      </c>
      <c r="M4" s="9">
        <v>29</v>
      </c>
      <c r="N4" s="16">
        <f t="shared" ref="N4:N19" si="3">SUM(L4:M4)</f>
        <v>110</v>
      </c>
      <c r="O4" s="9">
        <f t="shared" si="2"/>
        <v>363</v>
      </c>
      <c r="P4" s="45">
        <v>92</v>
      </c>
      <c r="Q4" s="9">
        <v>89</v>
      </c>
      <c r="R4" s="9">
        <v>86</v>
      </c>
      <c r="S4" s="9">
        <v>87</v>
      </c>
      <c r="T4" s="9">
        <v>37.5</v>
      </c>
      <c r="U4" s="9">
        <f t="shared" ref="U4:U45" si="4">SUM(S4:T4)</f>
        <v>124.5</v>
      </c>
      <c r="V4" s="9">
        <f t="shared" ref="V4:V46" si="5">SUM(P4:T4)</f>
        <v>391.5</v>
      </c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spans="1:52">
      <c r="A5" s="44" t="s">
        <v>84</v>
      </c>
      <c r="B5" s="9">
        <v>68</v>
      </c>
      <c r="C5" s="9">
        <v>73</v>
      </c>
      <c r="D5" s="9">
        <v>62</v>
      </c>
      <c r="E5" s="9">
        <v>81</v>
      </c>
      <c r="F5" s="9">
        <v>28.5</v>
      </c>
      <c r="G5" s="9">
        <f t="shared" si="0"/>
        <v>109.5</v>
      </c>
      <c r="H5" s="9">
        <f t="shared" si="1"/>
        <v>312.5</v>
      </c>
      <c r="I5" s="9">
        <v>58</v>
      </c>
      <c r="J5" s="9">
        <v>83</v>
      </c>
      <c r="K5" s="9">
        <v>76</v>
      </c>
      <c r="L5" s="9">
        <v>50</v>
      </c>
      <c r="M5" s="9">
        <v>24</v>
      </c>
      <c r="N5" s="16">
        <f t="shared" si="3"/>
        <v>74</v>
      </c>
      <c r="O5" s="9">
        <f t="shared" si="2"/>
        <v>291</v>
      </c>
      <c r="P5" s="45">
        <v>76</v>
      </c>
      <c r="Q5" s="9">
        <v>68</v>
      </c>
      <c r="R5" s="9">
        <v>92</v>
      </c>
      <c r="S5" s="9">
        <v>64</v>
      </c>
      <c r="T5" s="9">
        <v>36</v>
      </c>
      <c r="U5" s="9">
        <f t="shared" si="4"/>
        <v>100</v>
      </c>
      <c r="V5" s="9">
        <f t="shared" si="5"/>
        <v>336</v>
      </c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spans="1:52">
      <c r="A6" s="44" t="s">
        <v>85</v>
      </c>
      <c r="B6" s="9">
        <v>86</v>
      </c>
      <c r="C6" s="9">
        <v>89</v>
      </c>
      <c r="D6" s="9">
        <v>69</v>
      </c>
      <c r="E6" s="9">
        <v>92</v>
      </c>
      <c r="F6" s="9">
        <v>42</v>
      </c>
      <c r="G6" s="9">
        <f t="shared" si="0"/>
        <v>134</v>
      </c>
      <c r="H6" s="9">
        <f t="shared" si="1"/>
        <v>378</v>
      </c>
      <c r="I6" s="9">
        <v>78</v>
      </c>
      <c r="J6" s="9">
        <v>91</v>
      </c>
      <c r="K6" s="9">
        <v>76</v>
      </c>
      <c r="L6" s="9">
        <v>64</v>
      </c>
      <c r="M6" s="9">
        <v>28</v>
      </c>
      <c r="N6" s="16">
        <f t="shared" si="3"/>
        <v>92</v>
      </c>
      <c r="O6" s="9">
        <f t="shared" si="2"/>
        <v>337</v>
      </c>
      <c r="P6" s="45">
        <v>82</v>
      </c>
      <c r="Q6" s="9">
        <v>97</v>
      </c>
      <c r="R6" s="9">
        <v>84</v>
      </c>
      <c r="S6" s="9">
        <v>68</v>
      </c>
      <c r="T6" s="9">
        <v>39</v>
      </c>
      <c r="U6" s="9">
        <f t="shared" si="4"/>
        <v>107</v>
      </c>
      <c r="V6" s="9">
        <f t="shared" si="5"/>
        <v>370</v>
      </c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spans="1:52">
      <c r="A7" s="44" t="s">
        <v>86</v>
      </c>
      <c r="B7" s="9">
        <v>88</v>
      </c>
      <c r="C7" s="9">
        <v>99</v>
      </c>
      <c r="D7" s="9">
        <v>78</v>
      </c>
      <c r="E7" s="9">
        <v>100</v>
      </c>
      <c r="F7" s="9">
        <v>34</v>
      </c>
      <c r="G7" s="9">
        <f t="shared" si="0"/>
        <v>134</v>
      </c>
      <c r="H7" s="9">
        <f t="shared" si="1"/>
        <v>399</v>
      </c>
      <c r="I7" s="9">
        <v>78</v>
      </c>
      <c r="J7" s="9">
        <v>94</v>
      </c>
      <c r="K7" s="9">
        <v>82</v>
      </c>
      <c r="L7" s="9">
        <v>94</v>
      </c>
      <c r="M7" s="9">
        <v>27</v>
      </c>
      <c r="N7" s="16">
        <f t="shared" si="3"/>
        <v>121</v>
      </c>
      <c r="O7" s="9">
        <f t="shared" si="2"/>
        <v>375</v>
      </c>
      <c r="P7" s="45">
        <v>92</v>
      </c>
      <c r="Q7" s="9">
        <v>94</v>
      </c>
      <c r="R7" s="9">
        <v>84</v>
      </c>
      <c r="S7" s="9">
        <v>83</v>
      </c>
      <c r="T7" s="9">
        <v>33</v>
      </c>
      <c r="U7" s="9">
        <f t="shared" si="4"/>
        <v>116</v>
      </c>
      <c r="V7" s="9">
        <f t="shared" si="5"/>
        <v>386</v>
      </c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spans="1:52">
      <c r="A8" s="44" t="s">
        <v>87</v>
      </c>
      <c r="B8" s="9">
        <v>92</v>
      </c>
      <c r="C8" s="9">
        <v>95</v>
      </c>
      <c r="D8" s="9">
        <v>78</v>
      </c>
      <c r="E8" s="9">
        <v>100</v>
      </c>
      <c r="F8" s="9">
        <v>36</v>
      </c>
      <c r="G8" s="9">
        <f t="shared" si="0"/>
        <v>136</v>
      </c>
      <c r="H8" s="9">
        <f t="shared" si="1"/>
        <v>401</v>
      </c>
      <c r="I8" s="9">
        <v>78</v>
      </c>
      <c r="J8" s="9">
        <v>97</v>
      </c>
      <c r="K8" s="9">
        <v>82</v>
      </c>
      <c r="L8" s="9">
        <v>94</v>
      </c>
      <c r="M8" s="9">
        <v>26</v>
      </c>
      <c r="N8" s="16">
        <f t="shared" si="3"/>
        <v>120</v>
      </c>
      <c r="O8" s="9">
        <f t="shared" si="2"/>
        <v>377</v>
      </c>
      <c r="P8" s="45">
        <v>94</v>
      </c>
      <c r="Q8" s="9">
        <v>89</v>
      </c>
      <c r="R8" s="9">
        <v>84</v>
      </c>
      <c r="S8" s="9">
        <v>81</v>
      </c>
      <c r="T8" s="9">
        <v>36</v>
      </c>
      <c r="U8" s="9">
        <f t="shared" si="4"/>
        <v>117</v>
      </c>
      <c r="V8" s="9">
        <f t="shared" si="5"/>
        <v>384</v>
      </c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spans="1:52">
      <c r="A9" s="44" t="s">
        <v>88</v>
      </c>
      <c r="B9" s="9">
        <v>84</v>
      </c>
      <c r="C9" s="9">
        <v>99</v>
      </c>
      <c r="D9" s="9">
        <v>83</v>
      </c>
      <c r="E9" s="9">
        <v>100</v>
      </c>
      <c r="F9" s="9">
        <v>37.5</v>
      </c>
      <c r="G9" s="9">
        <f t="shared" si="0"/>
        <v>137.5</v>
      </c>
      <c r="H9" s="9">
        <f t="shared" si="1"/>
        <v>403.5</v>
      </c>
      <c r="I9" s="9">
        <v>82</v>
      </c>
      <c r="J9" s="9">
        <v>97</v>
      </c>
      <c r="K9" s="9">
        <v>82</v>
      </c>
      <c r="L9" s="9">
        <v>85</v>
      </c>
      <c r="M9" s="9">
        <v>25</v>
      </c>
      <c r="N9" s="16">
        <f t="shared" si="3"/>
        <v>110</v>
      </c>
      <c r="O9" s="9">
        <f t="shared" si="2"/>
        <v>371</v>
      </c>
      <c r="P9" s="45">
        <v>86</v>
      </c>
      <c r="Q9" s="9">
        <v>95</v>
      </c>
      <c r="R9" s="9">
        <v>86</v>
      </c>
      <c r="S9" s="9">
        <v>77</v>
      </c>
      <c r="T9" s="9">
        <v>37</v>
      </c>
      <c r="U9" s="9">
        <f t="shared" si="4"/>
        <v>114</v>
      </c>
      <c r="V9" s="9">
        <f t="shared" si="5"/>
        <v>381</v>
      </c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spans="1:52">
      <c r="A10" s="44" t="s">
        <v>89</v>
      </c>
      <c r="B10" s="9">
        <v>90</v>
      </c>
      <c r="C10" s="9">
        <v>67</v>
      </c>
      <c r="D10" s="9">
        <v>55</v>
      </c>
      <c r="E10" s="9">
        <v>94</v>
      </c>
      <c r="F10" s="9">
        <v>39</v>
      </c>
      <c r="G10" s="9">
        <f t="shared" si="0"/>
        <v>133</v>
      </c>
      <c r="H10" s="9">
        <f t="shared" si="1"/>
        <v>345</v>
      </c>
      <c r="I10" s="9">
        <v>76</v>
      </c>
      <c r="J10" s="9">
        <v>85</v>
      </c>
      <c r="K10" s="9">
        <v>80</v>
      </c>
      <c r="L10" s="9">
        <v>66</v>
      </c>
      <c r="M10" s="9">
        <v>28</v>
      </c>
      <c r="N10" s="16">
        <f t="shared" si="3"/>
        <v>94</v>
      </c>
      <c r="O10" s="9">
        <f t="shared" si="2"/>
        <v>335</v>
      </c>
      <c r="P10" s="45">
        <v>84</v>
      </c>
      <c r="Q10" s="9">
        <v>84</v>
      </c>
      <c r="R10" s="9">
        <v>84</v>
      </c>
      <c r="S10" s="9">
        <v>59</v>
      </c>
      <c r="T10" s="9">
        <v>37.5</v>
      </c>
      <c r="U10" s="9">
        <f t="shared" si="4"/>
        <v>96.5</v>
      </c>
      <c r="V10" s="9">
        <f t="shared" si="5"/>
        <v>348.5</v>
      </c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spans="1:52">
      <c r="A11" s="44" t="s">
        <v>90</v>
      </c>
      <c r="B11" s="9">
        <v>68</v>
      </c>
      <c r="C11" s="9">
        <v>84</v>
      </c>
      <c r="D11" s="9">
        <v>72</v>
      </c>
      <c r="E11" s="9">
        <v>76</v>
      </c>
      <c r="F11" s="9">
        <v>31.5</v>
      </c>
      <c r="G11" s="9">
        <f t="shared" si="0"/>
        <v>107.5</v>
      </c>
      <c r="H11" s="9">
        <f t="shared" si="1"/>
        <v>331.5</v>
      </c>
      <c r="I11" s="9">
        <v>66</v>
      </c>
      <c r="J11" s="9">
        <v>79</v>
      </c>
      <c r="K11" s="9">
        <v>82</v>
      </c>
      <c r="L11" s="9">
        <v>74</v>
      </c>
      <c r="M11" s="9">
        <v>21</v>
      </c>
      <c r="N11" s="16">
        <f t="shared" si="3"/>
        <v>95</v>
      </c>
      <c r="O11" s="9">
        <f t="shared" si="2"/>
        <v>322</v>
      </c>
      <c r="P11" s="45">
        <v>86</v>
      </c>
      <c r="Q11" s="9">
        <v>65</v>
      </c>
      <c r="R11" s="9">
        <v>80</v>
      </c>
      <c r="S11" s="9">
        <v>67</v>
      </c>
      <c r="T11" s="9">
        <v>34.5</v>
      </c>
      <c r="U11" s="9">
        <f t="shared" si="4"/>
        <v>101.5</v>
      </c>
      <c r="V11" s="9">
        <f t="shared" si="5"/>
        <v>332.5</v>
      </c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</row>
    <row r="12" spans="1:52">
      <c r="A12" s="44" t="s">
        <v>91</v>
      </c>
      <c r="B12" s="9">
        <v>80</v>
      </c>
      <c r="C12" s="9">
        <v>84</v>
      </c>
      <c r="D12" s="9">
        <v>76</v>
      </c>
      <c r="E12" s="9">
        <v>73</v>
      </c>
      <c r="F12" s="9">
        <v>30</v>
      </c>
      <c r="G12" s="9">
        <f t="shared" si="0"/>
        <v>103</v>
      </c>
      <c r="H12" s="9">
        <f t="shared" si="1"/>
        <v>343</v>
      </c>
      <c r="I12" s="9">
        <v>68</v>
      </c>
      <c r="J12" s="9">
        <v>86</v>
      </c>
      <c r="K12" s="9">
        <v>78</v>
      </c>
      <c r="L12" s="9">
        <v>44</v>
      </c>
      <c r="M12" s="9">
        <v>23</v>
      </c>
      <c r="N12" s="16">
        <f t="shared" si="3"/>
        <v>67</v>
      </c>
      <c r="O12" s="9">
        <f t="shared" si="2"/>
        <v>299</v>
      </c>
      <c r="P12" s="45">
        <v>76</v>
      </c>
      <c r="Q12" s="9">
        <v>56</v>
      </c>
      <c r="R12" s="9">
        <v>82</v>
      </c>
      <c r="S12" s="9">
        <v>60</v>
      </c>
      <c r="T12" s="9">
        <v>25.5</v>
      </c>
      <c r="U12" s="9">
        <f t="shared" si="4"/>
        <v>85.5</v>
      </c>
      <c r="V12" s="9">
        <f t="shared" si="5"/>
        <v>299.5</v>
      </c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</row>
    <row r="13" spans="1:52">
      <c r="A13" s="44" t="s">
        <v>92</v>
      </c>
      <c r="B13" s="9">
        <v>60</v>
      </c>
      <c r="C13" s="9">
        <v>75</v>
      </c>
      <c r="D13" s="9">
        <v>58</v>
      </c>
      <c r="E13" s="9">
        <v>54</v>
      </c>
      <c r="F13" s="9">
        <v>31.5</v>
      </c>
      <c r="G13" s="9">
        <f t="shared" si="0"/>
        <v>85.5</v>
      </c>
      <c r="H13" s="9">
        <f t="shared" si="1"/>
        <v>278.5</v>
      </c>
      <c r="I13" s="9">
        <v>60</v>
      </c>
      <c r="J13" s="9">
        <v>68</v>
      </c>
      <c r="K13" s="9">
        <v>72</v>
      </c>
      <c r="L13" s="9">
        <v>50</v>
      </c>
      <c r="M13" s="9">
        <v>17</v>
      </c>
      <c r="N13" s="16">
        <f t="shared" si="3"/>
        <v>67</v>
      </c>
      <c r="O13" s="9">
        <f t="shared" si="2"/>
        <v>267</v>
      </c>
      <c r="P13" s="45">
        <v>80</v>
      </c>
      <c r="Q13" s="9">
        <v>71</v>
      </c>
      <c r="R13" s="9">
        <v>78</v>
      </c>
      <c r="S13" s="9">
        <v>50</v>
      </c>
      <c r="T13" s="9">
        <v>30</v>
      </c>
      <c r="U13" s="9">
        <f t="shared" si="4"/>
        <v>80</v>
      </c>
      <c r="V13" s="9">
        <f t="shared" si="5"/>
        <v>309</v>
      </c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spans="1:52">
      <c r="A14" s="44" t="s">
        <v>93</v>
      </c>
      <c r="B14" s="9">
        <v>66</v>
      </c>
      <c r="C14" s="9">
        <v>86</v>
      </c>
      <c r="D14" s="9">
        <v>49</v>
      </c>
      <c r="E14" s="9">
        <v>80</v>
      </c>
      <c r="F14" s="9">
        <v>30</v>
      </c>
      <c r="G14" s="9">
        <f t="shared" si="0"/>
        <v>110</v>
      </c>
      <c r="H14" s="9">
        <f t="shared" si="1"/>
        <v>311</v>
      </c>
      <c r="I14" s="9">
        <v>58</v>
      </c>
      <c r="J14" s="9">
        <v>91</v>
      </c>
      <c r="K14" s="9">
        <v>56</v>
      </c>
      <c r="L14" s="9">
        <v>46</v>
      </c>
      <c r="M14" s="9">
        <v>16</v>
      </c>
      <c r="N14" s="16">
        <f t="shared" si="3"/>
        <v>62</v>
      </c>
      <c r="O14" s="9">
        <f t="shared" si="2"/>
        <v>267</v>
      </c>
      <c r="P14" s="45">
        <v>74</v>
      </c>
      <c r="Q14" s="9">
        <v>71</v>
      </c>
      <c r="R14" s="9">
        <v>80</v>
      </c>
      <c r="S14" s="9">
        <v>50</v>
      </c>
      <c r="T14" s="9">
        <v>30</v>
      </c>
      <c r="U14" s="9">
        <f t="shared" si="4"/>
        <v>80</v>
      </c>
      <c r="V14" s="9">
        <f t="shared" si="5"/>
        <v>305</v>
      </c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spans="1:52">
      <c r="A15" s="44" t="s">
        <v>94</v>
      </c>
      <c r="B15" s="9">
        <v>74</v>
      </c>
      <c r="C15" s="9">
        <v>89</v>
      </c>
      <c r="D15" s="9">
        <v>58</v>
      </c>
      <c r="E15" s="9">
        <v>83</v>
      </c>
      <c r="F15" s="9">
        <v>31.5</v>
      </c>
      <c r="G15" s="9">
        <f t="shared" si="0"/>
        <v>114.5</v>
      </c>
      <c r="H15" s="9">
        <f t="shared" si="1"/>
        <v>335.5</v>
      </c>
      <c r="I15" s="9">
        <v>78</v>
      </c>
      <c r="J15" s="9">
        <v>81</v>
      </c>
      <c r="K15" s="9">
        <v>74</v>
      </c>
      <c r="L15" s="9">
        <v>57</v>
      </c>
      <c r="M15" s="9">
        <v>17</v>
      </c>
      <c r="N15" s="16">
        <f t="shared" si="3"/>
        <v>74</v>
      </c>
      <c r="O15" s="9">
        <f t="shared" si="2"/>
        <v>307</v>
      </c>
      <c r="P15" s="45">
        <v>84</v>
      </c>
      <c r="Q15" s="9">
        <v>85</v>
      </c>
      <c r="R15" s="9">
        <v>76</v>
      </c>
      <c r="S15" s="9">
        <v>59</v>
      </c>
      <c r="T15" s="9">
        <v>25.5</v>
      </c>
      <c r="U15" s="9">
        <f t="shared" si="4"/>
        <v>84.5</v>
      </c>
      <c r="V15" s="9">
        <f t="shared" si="5"/>
        <v>329.5</v>
      </c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spans="1:52">
      <c r="A16" s="44" t="s">
        <v>95</v>
      </c>
      <c r="B16" s="9">
        <v>66</v>
      </c>
      <c r="C16" s="9">
        <v>92</v>
      </c>
      <c r="D16" s="9">
        <v>66</v>
      </c>
      <c r="E16" s="9">
        <v>88</v>
      </c>
      <c r="F16" s="9">
        <v>33</v>
      </c>
      <c r="G16" s="9">
        <f t="shared" si="0"/>
        <v>121</v>
      </c>
      <c r="H16" s="9">
        <f t="shared" si="1"/>
        <v>345</v>
      </c>
      <c r="I16" s="9">
        <v>68</v>
      </c>
      <c r="J16" s="9">
        <v>82</v>
      </c>
      <c r="K16" s="9">
        <v>72</v>
      </c>
      <c r="L16" s="9">
        <v>60</v>
      </c>
      <c r="M16" s="9">
        <v>21</v>
      </c>
      <c r="N16" s="16">
        <f t="shared" si="3"/>
        <v>81</v>
      </c>
      <c r="O16" s="9">
        <f t="shared" si="2"/>
        <v>303</v>
      </c>
      <c r="P16" s="45">
        <v>80</v>
      </c>
      <c r="Q16" s="9">
        <v>64</v>
      </c>
      <c r="R16" s="9">
        <v>84</v>
      </c>
      <c r="S16" s="9">
        <v>82</v>
      </c>
      <c r="T16" s="9">
        <v>25.5</v>
      </c>
      <c r="U16" s="9">
        <f t="shared" si="4"/>
        <v>107.5</v>
      </c>
      <c r="V16" s="9">
        <f t="shared" si="5"/>
        <v>335.5</v>
      </c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spans="1:52">
      <c r="A17" s="44" t="s">
        <v>96</v>
      </c>
      <c r="B17" s="9">
        <v>64</v>
      </c>
      <c r="C17" s="9">
        <v>67</v>
      </c>
      <c r="D17" s="9">
        <v>60</v>
      </c>
      <c r="E17" s="9">
        <v>80</v>
      </c>
      <c r="F17" s="9">
        <v>30</v>
      </c>
      <c r="G17" s="9">
        <f t="shared" si="0"/>
        <v>110</v>
      </c>
      <c r="H17" s="9">
        <f t="shared" si="1"/>
        <v>301</v>
      </c>
      <c r="I17" s="9">
        <v>66</v>
      </c>
      <c r="J17" s="9">
        <v>74</v>
      </c>
      <c r="K17" s="9">
        <v>62</v>
      </c>
      <c r="L17" s="9">
        <v>76</v>
      </c>
      <c r="M17" s="9">
        <v>18</v>
      </c>
      <c r="N17" s="16">
        <f t="shared" si="3"/>
        <v>94</v>
      </c>
      <c r="O17" s="9">
        <f t="shared" si="2"/>
        <v>296</v>
      </c>
      <c r="P17" s="45">
        <v>70</v>
      </c>
      <c r="Q17" s="9">
        <v>70</v>
      </c>
      <c r="R17" s="9">
        <v>82</v>
      </c>
      <c r="S17" s="9">
        <v>70</v>
      </c>
      <c r="T17" s="9">
        <v>33</v>
      </c>
      <c r="U17" s="9">
        <f t="shared" si="4"/>
        <v>103</v>
      </c>
      <c r="V17" s="9">
        <f t="shared" si="5"/>
        <v>325</v>
      </c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spans="1:52">
      <c r="A18" s="44" t="s">
        <v>97</v>
      </c>
      <c r="B18" s="9">
        <v>46</v>
      </c>
      <c r="C18" s="9">
        <v>64</v>
      </c>
      <c r="D18" s="9">
        <v>52</v>
      </c>
      <c r="E18" s="9">
        <v>64</v>
      </c>
      <c r="F18" s="9">
        <v>33</v>
      </c>
      <c r="G18" s="9">
        <f t="shared" si="0"/>
        <v>97</v>
      </c>
      <c r="H18" s="9">
        <f t="shared" si="1"/>
        <v>259</v>
      </c>
      <c r="I18" s="9">
        <v>66</v>
      </c>
      <c r="J18" s="9">
        <v>68</v>
      </c>
      <c r="K18" s="9">
        <v>68</v>
      </c>
      <c r="L18" s="9">
        <v>59</v>
      </c>
      <c r="M18" s="9">
        <v>20</v>
      </c>
      <c r="N18" s="16">
        <f t="shared" si="3"/>
        <v>79</v>
      </c>
      <c r="O18" s="9">
        <f t="shared" si="2"/>
        <v>281</v>
      </c>
      <c r="P18" s="45">
        <v>66</v>
      </c>
      <c r="Q18" s="9">
        <v>68</v>
      </c>
      <c r="R18" s="9">
        <v>80</v>
      </c>
      <c r="S18" s="9">
        <v>37</v>
      </c>
      <c r="T18" s="9">
        <v>39</v>
      </c>
      <c r="U18" s="9">
        <f t="shared" si="4"/>
        <v>76</v>
      </c>
      <c r="V18" s="9">
        <f t="shared" si="5"/>
        <v>290</v>
      </c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spans="1:52">
      <c r="A19" s="44" t="s">
        <v>98</v>
      </c>
      <c r="B19" s="9">
        <v>74</v>
      </c>
      <c r="C19" s="9">
        <v>51</v>
      </c>
      <c r="D19" s="9">
        <v>46</v>
      </c>
      <c r="E19" s="9">
        <v>76</v>
      </c>
      <c r="F19" s="9">
        <v>27</v>
      </c>
      <c r="G19" s="9">
        <f t="shared" si="0"/>
        <v>103</v>
      </c>
      <c r="H19" s="9">
        <f t="shared" si="1"/>
        <v>274</v>
      </c>
      <c r="I19" s="9">
        <v>72</v>
      </c>
      <c r="J19" s="9">
        <v>75</v>
      </c>
      <c r="K19" s="9">
        <v>74</v>
      </c>
      <c r="L19" s="9">
        <v>45</v>
      </c>
      <c r="M19" s="9">
        <v>19</v>
      </c>
      <c r="N19" s="16">
        <f t="shared" si="3"/>
        <v>64</v>
      </c>
      <c r="O19" s="9">
        <f t="shared" si="2"/>
        <v>285</v>
      </c>
      <c r="P19" s="45">
        <v>70</v>
      </c>
      <c r="Q19" s="9">
        <v>52</v>
      </c>
      <c r="R19" s="9">
        <v>58</v>
      </c>
      <c r="S19" s="9">
        <v>56</v>
      </c>
      <c r="T19" s="9">
        <v>30</v>
      </c>
      <c r="U19" s="9">
        <f t="shared" si="4"/>
        <v>86</v>
      </c>
      <c r="V19" s="9">
        <f t="shared" si="5"/>
        <v>266</v>
      </c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spans="1:52">
      <c r="A20" s="44" t="s">
        <v>99</v>
      </c>
      <c r="B20" s="9">
        <v>52</v>
      </c>
      <c r="C20" s="9">
        <v>48</v>
      </c>
      <c r="D20" s="9">
        <v>38</v>
      </c>
      <c r="E20" s="9">
        <v>46</v>
      </c>
      <c r="F20" s="9">
        <v>24</v>
      </c>
      <c r="G20" s="9">
        <f t="shared" si="0"/>
        <v>70</v>
      </c>
      <c r="H20" s="9">
        <f t="shared" si="1"/>
        <v>208</v>
      </c>
      <c r="I20" s="9"/>
      <c r="J20" s="9"/>
      <c r="K20" s="9"/>
      <c r="L20" s="9"/>
      <c r="M20" s="9"/>
      <c r="N20" s="16"/>
      <c r="O20" s="16"/>
      <c r="P20" s="45">
        <v>54</v>
      </c>
      <c r="Q20" s="9">
        <v>51</v>
      </c>
      <c r="R20" s="9">
        <v>52</v>
      </c>
      <c r="S20" s="9">
        <v>31</v>
      </c>
      <c r="T20" s="9">
        <v>31.5</v>
      </c>
      <c r="U20" s="9">
        <f t="shared" si="4"/>
        <v>62.5</v>
      </c>
      <c r="V20" s="9">
        <f t="shared" si="5"/>
        <v>219.5</v>
      </c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spans="1:52">
      <c r="A21" s="44" t="s">
        <v>100</v>
      </c>
      <c r="B21" s="9">
        <v>76</v>
      </c>
      <c r="C21" s="9">
        <v>64</v>
      </c>
      <c r="D21" s="9">
        <v>60</v>
      </c>
      <c r="E21" s="9">
        <v>60</v>
      </c>
      <c r="F21" s="9">
        <v>30</v>
      </c>
      <c r="G21" s="9">
        <f t="shared" ref="G21:G45" si="6">SUM(E21:F21)</f>
        <v>90</v>
      </c>
      <c r="H21" s="9">
        <f t="shared" ref="H21:H45" si="7">SUM(B21:F21)</f>
        <v>290</v>
      </c>
      <c r="I21" s="9">
        <v>64</v>
      </c>
      <c r="J21" s="9">
        <v>70</v>
      </c>
      <c r="K21" s="9">
        <v>74</v>
      </c>
      <c r="L21" s="9">
        <v>42</v>
      </c>
      <c r="M21" s="9">
        <v>27</v>
      </c>
      <c r="N21" s="16">
        <f>SUM(L21:M21)</f>
        <v>69</v>
      </c>
      <c r="O21" s="9">
        <f t="shared" ref="O21:O45" si="8">SUM(I21:M21)</f>
        <v>277</v>
      </c>
      <c r="P21" s="45">
        <v>76</v>
      </c>
      <c r="Q21" s="9">
        <v>73</v>
      </c>
      <c r="R21" s="9">
        <v>66</v>
      </c>
      <c r="S21" s="9">
        <v>32</v>
      </c>
      <c r="T21" s="9">
        <v>34.5</v>
      </c>
      <c r="U21" s="9">
        <f t="shared" si="4"/>
        <v>66.5</v>
      </c>
      <c r="V21" s="9">
        <f t="shared" si="5"/>
        <v>281.5</v>
      </c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spans="1:52">
      <c r="A22" s="44" t="s">
        <v>101</v>
      </c>
      <c r="B22" s="9">
        <v>84</v>
      </c>
      <c r="C22" s="9">
        <v>73</v>
      </c>
      <c r="D22" s="9">
        <v>61</v>
      </c>
      <c r="E22" s="9">
        <v>69</v>
      </c>
      <c r="F22" s="9">
        <v>28.5</v>
      </c>
      <c r="G22" s="9">
        <f t="shared" si="6"/>
        <v>97.5</v>
      </c>
      <c r="H22" s="9">
        <f t="shared" si="7"/>
        <v>315.5</v>
      </c>
      <c r="I22" s="9">
        <v>66</v>
      </c>
      <c r="J22" s="9">
        <v>83</v>
      </c>
      <c r="K22" s="9">
        <v>84</v>
      </c>
      <c r="L22" s="9">
        <v>40</v>
      </c>
      <c r="M22" s="9">
        <v>21</v>
      </c>
      <c r="N22" s="16">
        <f>SUM(L22:M22)</f>
        <v>61</v>
      </c>
      <c r="O22" s="9">
        <f t="shared" si="8"/>
        <v>294</v>
      </c>
      <c r="P22" s="45">
        <v>82</v>
      </c>
      <c r="Q22" s="9">
        <v>86</v>
      </c>
      <c r="R22" s="9">
        <v>82</v>
      </c>
      <c r="S22" s="9">
        <v>46</v>
      </c>
      <c r="T22" s="9">
        <v>30</v>
      </c>
      <c r="U22" s="9">
        <f t="shared" si="4"/>
        <v>76</v>
      </c>
      <c r="V22" s="9">
        <f t="shared" si="5"/>
        <v>326</v>
      </c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spans="1:52">
      <c r="A23" s="44" t="s">
        <v>102</v>
      </c>
      <c r="B23" s="9">
        <v>84</v>
      </c>
      <c r="C23" s="9">
        <v>33</v>
      </c>
      <c r="D23" s="9">
        <v>66</v>
      </c>
      <c r="E23" s="9">
        <v>84</v>
      </c>
      <c r="F23" s="9">
        <v>24</v>
      </c>
      <c r="G23" s="9">
        <f t="shared" si="6"/>
        <v>108</v>
      </c>
      <c r="H23" s="9">
        <f t="shared" si="7"/>
        <v>291</v>
      </c>
      <c r="I23" s="9">
        <v>74</v>
      </c>
      <c r="J23" s="9">
        <v>81</v>
      </c>
      <c r="K23" s="9">
        <v>64</v>
      </c>
      <c r="L23" s="9">
        <v>66</v>
      </c>
      <c r="M23" s="9">
        <v>17</v>
      </c>
      <c r="N23" s="16">
        <f t="shared" ref="N23:N45" si="9">SUM(L23:M23)</f>
        <v>83</v>
      </c>
      <c r="O23" s="9">
        <f t="shared" si="8"/>
        <v>302</v>
      </c>
      <c r="P23" s="45">
        <v>78</v>
      </c>
      <c r="Q23" s="9">
        <v>54</v>
      </c>
      <c r="R23" s="9">
        <v>74</v>
      </c>
      <c r="S23" s="9">
        <v>51</v>
      </c>
      <c r="T23" s="9">
        <v>24</v>
      </c>
      <c r="U23" s="9">
        <f t="shared" si="4"/>
        <v>75</v>
      </c>
      <c r="V23" s="9">
        <f t="shared" si="5"/>
        <v>281</v>
      </c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spans="1:52">
      <c r="A24" s="46" t="s">
        <v>103</v>
      </c>
      <c r="B24" s="9">
        <v>88</v>
      </c>
      <c r="C24" s="9">
        <v>86</v>
      </c>
      <c r="D24" s="9">
        <v>74</v>
      </c>
      <c r="E24" s="9">
        <v>95</v>
      </c>
      <c r="F24" s="9">
        <v>36</v>
      </c>
      <c r="G24" s="9">
        <f t="shared" si="6"/>
        <v>131</v>
      </c>
      <c r="H24" s="9">
        <f t="shared" si="7"/>
        <v>379</v>
      </c>
      <c r="I24" s="9"/>
      <c r="J24" s="9"/>
      <c r="K24" s="9"/>
      <c r="L24" s="9"/>
      <c r="M24" s="9"/>
      <c r="N24" s="16"/>
      <c r="O24" s="16"/>
      <c r="P24" s="45">
        <v>86</v>
      </c>
      <c r="Q24" s="9">
        <v>81</v>
      </c>
      <c r="R24" s="9">
        <v>88</v>
      </c>
      <c r="S24" s="9">
        <v>72</v>
      </c>
      <c r="T24" s="9">
        <v>37.5</v>
      </c>
      <c r="U24" s="9">
        <f t="shared" si="4"/>
        <v>109.5</v>
      </c>
      <c r="V24" s="9">
        <f t="shared" si="5"/>
        <v>364.5</v>
      </c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spans="1:52">
      <c r="A25" s="46" t="s">
        <v>104</v>
      </c>
      <c r="B25" s="9">
        <v>86</v>
      </c>
      <c r="C25" s="9">
        <v>87</v>
      </c>
      <c r="D25" s="9">
        <v>63</v>
      </c>
      <c r="E25" s="9">
        <v>95</v>
      </c>
      <c r="F25" s="9">
        <v>34.5</v>
      </c>
      <c r="G25" s="9">
        <f t="shared" si="6"/>
        <v>129.5</v>
      </c>
      <c r="H25" s="9">
        <f t="shared" si="7"/>
        <v>365.5</v>
      </c>
      <c r="I25" s="9">
        <v>68</v>
      </c>
      <c r="J25" s="9">
        <v>91</v>
      </c>
      <c r="K25" s="9">
        <v>84</v>
      </c>
      <c r="L25" s="9">
        <v>79</v>
      </c>
      <c r="M25" s="9">
        <v>22</v>
      </c>
      <c r="N25" s="16">
        <f t="shared" si="9"/>
        <v>101</v>
      </c>
      <c r="O25" s="9">
        <f t="shared" si="8"/>
        <v>344</v>
      </c>
      <c r="P25" s="45">
        <v>84</v>
      </c>
      <c r="Q25" s="9">
        <v>84</v>
      </c>
      <c r="R25" s="9">
        <v>94</v>
      </c>
      <c r="S25" s="9">
        <v>84</v>
      </c>
      <c r="T25" s="9">
        <v>42</v>
      </c>
      <c r="U25" s="9">
        <f t="shared" si="4"/>
        <v>126</v>
      </c>
      <c r="V25" s="9">
        <f t="shared" si="5"/>
        <v>388</v>
      </c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spans="1:52">
      <c r="A26" s="46" t="s">
        <v>105</v>
      </c>
      <c r="B26" s="16"/>
      <c r="C26" s="16"/>
      <c r="D26" s="16"/>
      <c r="E26" s="16"/>
      <c r="F26" s="16"/>
      <c r="G26" s="9">
        <f t="shared" si="6"/>
        <v>0</v>
      </c>
      <c r="H26" s="9">
        <f t="shared" si="7"/>
        <v>0</v>
      </c>
      <c r="I26" s="9"/>
      <c r="J26" s="9"/>
      <c r="K26" s="9"/>
      <c r="L26" s="9"/>
      <c r="M26" s="9"/>
      <c r="N26" s="16"/>
      <c r="O26" s="16"/>
      <c r="P26" s="45">
        <v>56</v>
      </c>
      <c r="Q26" s="9">
        <v>42</v>
      </c>
      <c r="R26" s="9">
        <v>72</v>
      </c>
      <c r="S26" s="9">
        <v>17</v>
      </c>
      <c r="T26" s="9">
        <v>22.5</v>
      </c>
      <c r="U26" s="9">
        <f t="shared" si="4"/>
        <v>39.5</v>
      </c>
      <c r="V26" s="9">
        <f t="shared" si="5"/>
        <v>209.5</v>
      </c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spans="1:52">
      <c r="A27" s="46" t="s">
        <v>106</v>
      </c>
      <c r="B27" s="9">
        <v>80</v>
      </c>
      <c r="C27" s="9">
        <v>95</v>
      </c>
      <c r="D27" s="9">
        <v>81</v>
      </c>
      <c r="E27" s="9">
        <v>81</v>
      </c>
      <c r="F27" s="9">
        <v>39</v>
      </c>
      <c r="G27" s="9">
        <f t="shared" si="6"/>
        <v>120</v>
      </c>
      <c r="H27" s="9">
        <f t="shared" si="7"/>
        <v>376</v>
      </c>
      <c r="I27" s="9">
        <v>78</v>
      </c>
      <c r="J27" s="9">
        <v>73</v>
      </c>
      <c r="K27" s="9">
        <v>84</v>
      </c>
      <c r="L27" s="9">
        <v>63</v>
      </c>
      <c r="M27" s="9">
        <v>24</v>
      </c>
      <c r="N27" s="16">
        <f t="shared" si="9"/>
        <v>87</v>
      </c>
      <c r="O27" s="9">
        <f t="shared" si="8"/>
        <v>322</v>
      </c>
      <c r="P27" s="45">
        <v>70</v>
      </c>
      <c r="Q27" s="9">
        <v>70</v>
      </c>
      <c r="R27" s="9">
        <v>88</v>
      </c>
      <c r="S27" s="9">
        <v>57</v>
      </c>
      <c r="T27" s="9">
        <v>40.5</v>
      </c>
      <c r="U27" s="9">
        <f t="shared" si="4"/>
        <v>97.5</v>
      </c>
      <c r="V27" s="9">
        <f t="shared" si="5"/>
        <v>325.5</v>
      </c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</row>
    <row r="28" spans="1:52">
      <c r="A28" s="46" t="s">
        <v>107</v>
      </c>
      <c r="B28" s="9">
        <v>50</v>
      </c>
      <c r="C28" s="9">
        <v>53</v>
      </c>
      <c r="D28" s="9">
        <v>73</v>
      </c>
      <c r="E28" s="9">
        <v>95</v>
      </c>
      <c r="F28" s="9">
        <v>34.5</v>
      </c>
      <c r="G28" s="9">
        <f t="shared" si="6"/>
        <v>129.5</v>
      </c>
      <c r="H28" s="9">
        <f t="shared" si="7"/>
        <v>305.5</v>
      </c>
      <c r="I28" s="9">
        <v>58</v>
      </c>
      <c r="J28" s="9">
        <v>78</v>
      </c>
      <c r="K28" s="9">
        <v>80</v>
      </c>
      <c r="L28" s="9">
        <v>66</v>
      </c>
      <c r="M28" s="9">
        <v>18</v>
      </c>
      <c r="N28" s="16">
        <f t="shared" si="9"/>
        <v>84</v>
      </c>
      <c r="O28" s="9">
        <f t="shared" si="8"/>
        <v>300</v>
      </c>
      <c r="P28" s="45">
        <v>58</v>
      </c>
      <c r="Q28" s="9">
        <v>65</v>
      </c>
      <c r="R28" s="9">
        <v>90</v>
      </c>
      <c r="S28" s="9">
        <v>85</v>
      </c>
      <c r="T28" s="9">
        <v>34.5</v>
      </c>
      <c r="U28" s="9">
        <f t="shared" si="4"/>
        <v>119.5</v>
      </c>
      <c r="V28" s="9">
        <f t="shared" si="5"/>
        <v>332.5</v>
      </c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</row>
    <row r="29" spans="1:52">
      <c r="A29" s="47" t="s">
        <v>108</v>
      </c>
      <c r="B29" s="9">
        <v>80</v>
      </c>
      <c r="C29" s="9">
        <v>100</v>
      </c>
      <c r="D29" s="9">
        <v>70</v>
      </c>
      <c r="E29" s="9">
        <v>105</v>
      </c>
      <c r="F29" s="9">
        <v>33</v>
      </c>
      <c r="G29" s="9">
        <f t="shared" si="6"/>
        <v>138</v>
      </c>
      <c r="H29" s="9">
        <f t="shared" si="7"/>
        <v>388</v>
      </c>
      <c r="I29" s="9">
        <v>70</v>
      </c>
      <c r="J29" s="9">
        <v>97</v>
      </c>
      <c r="K29" s="9">
        <v>86</v>
      </c>
      <c r="L29" s="9">
        <v>89</v>
      </c>
      <c r="M29" s="9">
        <v>24</v>
      </c>
      <c r="N29" s="16">
        <f t="shared" si="9"/>
        <v>113</v>
      </c>
      <c r="O29" s="9">
        <f t="shared" si="8"/>
        <v>366</v>
      </c>
      <c r="P29" s="45">
        <v>86</v>
      </c>
      <c r="Q29" s="9">
        <v>100</v>
      </c>
      <c r="R29" s="9">
        <v>82</v>
      </c>
      <c r="S29" s="9">
        <v>95</v>
      </c>
      <c r="T29" s="9">
        <v>40.5</v>
      </c>
      <c r="U29" s="9">
        <f t="shared" si="4"/>
        <v>135.5</v>
      </c>
      <c r="V29" s="9">
        <f t="shared" si="5"/>
        <v>403.5</v>
      </c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</row>
    <row r="30" spans="1:52">
      <c r="A30" s="48" t="s">
        <v>109</v>
      </c>
      <c r="B30" s="16"/>
      <c r="C30" s="16"/>
      <c r="D30" s="16"/>
      <c r="E30" s="16"/>
      <c r="F30" s="16"/>
      <c r="G30" s="9">
        <f t="shared" si="6"/>
        <v>0</v>
      </c>
      <c r="H30" s="9">
        <f t="shared" si="7"/>
        <v>0</v>
      </c>
      <c r="I30" s="9"/>
      <c r="J30" s="9"/>
      <c r="K30" s="9"/>
      <c r="L30" s="9"/>
      <c r="M30" s="9"/>
      <c r="N30" s="16"/>
      <c r="O30" s="16"/>
      <c r="P30" s="45"/>
      <c r="Q30" s="9"/>
      <c r="R30" s="9"/>
      <c r="S30" s="9"/>
      <c r="T30" s="9"/>
      <c r="U30" s="9">
        <f t="shared" si="4"/>
        <v>0</v>
      </c>
      <c r="V30" s="9">
        <f t="shared" si="5"/>
        <v>0</v>
      </c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</row>
    <row r="31" spans="1:52">
      <c r="A31" s="49" t="s">
        <v>110</v>
      </c>
      <c r="B31" s="9">
        <v>78</v>
      </c>
      <c r="C31" s="9">
        <v>42</v>
      </c>
      <c r="D31" s="9">
        <v>67</v>
      </c>
      <c r="E31" s="9">
        <v>71</v>
      </c>
      <c r="F31" s="9">
        <v>30</v>
      </c>
      <c r="G31" s="9">
        <f t="shared" si="6"/>
        <v>101</v>
      </c>
      <c r="H31" s="9">
        <f t="shared" si="7"/>
        <v>288</v>
      </c>
      <c r="I31" s="9"/>
      <c r="J31" s="9"/>
      <c r="K31" s="9"/>
      <c r="L31" s="9"/>
      <c r="M31" s="9"/>
      <c r="N31" s="16"/>
      <c r="O31" s="16"/>
      <c r="P31" s="45">
        <v>90</v>
      </c>
      <c r="Q31" s="9">
        <v>89</v>
      </c>
      <c r="R31" s="9">
        <v>90</v>
      </c>
      <c r="S31" s="9">
        <v>55</v>
      </c>
      <c r="T31" s="9">
        <v>31.5</v>
      </c>
      <c r="U31" s="9">
        <f t="shared" si="4"/>
        <v>86.5</v>
      </c>
      <c r="V31" s="9">
        <f t="shared" si="5"/>
        <v>355.5</v>
      </c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</row>
    <row r="32" spans="1:52">
      <c r="A32" s="48" t="s">
        <v>111</v>
      </c>
      <c r="B32" s="9">
        <v>64</v>
      </c>
      <c r="C32" s="9">
        <v>89</v>
      </c>
      <c r="D32" s="9">
        <v>51</v>
      </c>
      <c r="E32" s="9">
        <v>77</v>
      </c>
      <c r="F32" s="9">
        <v>22.5</v>
      </c>
      <c r="G32" s="9">
        <f t="shared" si="6"/>
        <v>99.5</v>
      </c>
      <c r="H32" s="9">
        <f t="shared" si="7"/>
        <v>303.5</v>
      </c>
      <c r="I32" s="9"/>
      <c r="J32" s="9"/>
      <c r="K32" s="9"/>
      <c r="L32" s="9"/>
      <c r="M32" s="9"/>
      <c r="N32" s="16"/>
      <c r="O32" s="16"/>
      <c r="P32" s="45">
        <v>88</v>
      </c>
      <c r="Q32" s="9">
        <v>86</v>
      </c>
      <c r="R32" s="9">
        <v>82</v>
      </c>
      <c r="S32" s="9">
        <v>55</v>
      </c>
      <c r="T32" s="9">
        <v>31.5</v>
      </c>
      <c r="U32" s="9">
        <f t="shared" si="4"/>
        <v>86.5</v>
      </c>
      <c r="V32" s="9">
        <f t="shared" si="5"/>
        <v>342.5</v>
      </c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</row>
    <row r="33" spans="1:52">
      <c r="A33" s="49" t="s">
        <v>112</v>
      </c>
      <c r="B33" s="9">
        <v>94</v>
      </c>
      <c r="C33" s="9">
        <v>79</v>
      </c>
      <c r="D33" s="9">
        <v>69</v>
      </c>
      <c r="E33" s="9">
        <v>89</v>
      </c>
      <c r="F33" s="9">
        <v>28.5</v>
      </c>
      <c r="G33" s="9">
        <f t="shared" si="6"/>
        <v>117.5</v>
      </c>
      <c r="H33" s="9">
        <f t="shared" si="7"/>
        <v>359.5</v>
      </c>
      <c r="I33" s="9">
        <v>82</v>
      </c>
      <c r="J33" s="9">
        <v>79</v>
      </c>
      <c r="K33" s="9">
        <v>86</v>
      </c>
      <c r="L33" s="9">
        <v>61</v>
      </c>
      <c r="M33" s="9">
        <v>22</v>
      </c>
      <c r="N33" s="16">
        <f t="shared" si="9"/>
        <v>83</v>
      </c>
      <c r="O33" s="9">
        <f t="shared" si="8"/>
        <v>330</v>
      </c>
      <c r="P33" s="45">
        <v>82</v>
      </c>
      <c r="Q33" s="9">
        <v>83</v>
      </c>
      <c r="R33" s="9">
        <v>86</v>
      </c>
      <c r="S33" s="9">
        <v>72</v>
      </c>
      <c r="T33" s="9">
        <v>39</v>
      </c>
      <c r="U33" s="9">
        <f t="shared" si="4"/>
        <v>111</v>
      </c>
      <c r="V33" s="9">
        <f t="shared" si="5"/>
        <v>362</v>
      </c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</row>
    <row r="34" spans="1:52">
      <c r="A34" s="48" t="s">
        <v>113</v>
      </c>
      <c r="B34" s="9">
        <v>72</v>
      </c>
      <c r="C34" s="9">
        <v>74</v>
      </c>
      <c r="D34" s="9">
        <v>70</v>
      </c>
      <c r="E34" s="9">
        <v>86</v>
      </c>
      <c r="F34" s="9">
        <v>33</v>
      </c>
      <c r="G34" s="9">
        <f t="shared" si="6"/>
        <v>119</v>
      </c>
      <c r="H34" s="9">
        <f t="shared" si="7"/>
        <v>335</v>
      </c>
      <c r="I34" s="9">
        <v>64</v>
      </c>
      <c r="J34" s="9">
        <v>83</v>
      </c>
      <c r="K34" s="9">
        <v>74</v>
      </c>
      <c r="L34" s="9">
        <v>73</v>
      </c>
      <c r="M34" s="9">
        <v>25</v>
      </c>
      <c r="N34" s="16">
        <f t="shared" si="9"/>
        <v>98</v>
      </c>
      <c r="O34" s="9">
        <f t="shared" si="8"/>
        <v>319</v>
      </c>
      <c r="P34" s="45">
        <v>74</v>
      </c>
      <c r="Q34" s="9">
        <v>86</v>
      </c>
      <c r="R34" s="9">
        <v>86</v>
      </c>
      <c r="S34" s="9">
        <v>50</v>
      </c>
      <c r="T34" s="9">
        <v>33</v>
      </c>
      <c r="U34" s="9">
        <f t="shared" si="4"/>
        <v>83</v>
      </c>
      <c r="V34" s="9">
        <f t="shared" si="5"/>
        <v>329</v>
      </c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</row>
    <row r="35" spans="1:52">
      <c r="A35" s="49" t="s">
        <v>114</v>
      </c>
      <c r="B35" s="9">
        <v>66</v>
      </c>
      <c r="C35" s="9">
        <v>92</v>
      </c>
      <c r="D35" s="9">
        <v>57</v>
      </c>
      <c r="E35" s="9">
        <v>88</v>
      </c>
      <c r="F35" s="9">
        <v>22.5</v>
      </c>
      <c r="G35" s="9">
        <f t="shared" si="6"/>
        <v>110.5</v>
      </c>
      <c r="H35" s="9">
        <f t="shared" si="7"/>
        <v>325.5</v>
      </c>
      <c r="I35" s="9">
        <v>70</v>
      </c>
      <c r="J35" s="9">
        <v>87</v>
      </c>
      <c r="K35" s="9">
        <v>70</v>
      </c>
      <c r="L35" s="9">
        <v>73</v>
      </c>
      <c r="M35" s="9">
        <v>22</v>
      </c>
      <c r="N35" s="16">
        <f t="shared" si="9"/>
        <v>95</v>
      </c>
      <c r="O35" s="9">
        <f t="shared" si="8"/>
        <v>322</v>
      </c>
      <c r="P35" s="9">
        <v>72</v>
      </c>
      <c r="Q35" s="50">
        <v>85</v>
      </c>
      <c r="R35" s="50">
        <v>86</v>
      </c>
      <c r="S35" s="50">
        <v>59</v>
      </c>
      <c r="T35" s="9">
        <v>33</v>
      </c>
      <c r="U35" s="9">
        <f t="shared" si="4"/>
        <v>92</v>
      </c>
      <c r="V35" s="9">
        <f t="shared" si="5"/>
        <v>335</v>
      </c>
      <c r="W35" s="9"/>
    </row>
    <row r="36" spans="1:52">
      <c r="A36" s="49" t="s">
        <v>115</v>
      </c>
      <c r="B36" s="9">
        <v>84</v>
      </c>
      <c r="C36" s="9">
        <v>56</v>
      </c>
      <c r="D36" s="9">
        <v>66</v>
      </c>
      <c r="E36" s="9">
        <v>72</v>
      </c>
      <c r="F36" s="9">
        <v>22.5</v>
      </c>
      <c r="G36" s="9">
        <f t="shared" si="6"/>
        <v>94.5</v>
      </c>
      <c r="H36" s="9">
        <f t="shared" si="7"/>
        <v>300.5</v>
      </c>
      <c r="I36" s="9">
        <v>74</v>
      </c>
      <c r="J36" s="9">
        <v>81</v>
      </c>
      <c r="K36" s="9">
        <v>64</v>
      </c>
      <c r="L36" s="9">
        <v>73</v>
      </c>
      <c r="M36" s="9">
        <v>22</v>
      </c>
      <c r="N36" s="16">
        <f t="shared" si="9"/>
        <v>95</v>
      </c>
      <c r="O36" s="9">
        <f t="shared" si="8"/>
        <v>314</v>
      </c>
      <c r="P36" s="9">
        <v>86</v>
      </c>
      <c r="Q36" s="9">
        <v>89</v>
      </c>
      <c r="R36" s="9">
        <v>80</v>
      </c>
      <c r="S36" s="9">
        <v>50</v>
      </c>
      <c r="T36" s="9">
        <v>37.5</v>
      </c>
      <c r="U36" s="9">
        <f t="shared" si="4"/>
        <v>87.5</v>
      </c>
      <c r="V36" s="9">
        <f t="shared" si="5"/>
        <v>342.5</v>
      </c>
      <c r="W36" s="9"/>
    </row>
    <row r="37" ht="15" spans="1:52">
      <c r="A37" s="51" t="s">
        <v>116</v>
      </c>
      <c r="B37" s="9">
        <v>64</v>
      </c>
      <c r="C37" s="9">
        <v>93</v>
      </c>
      <c r="D37" s="9">
        <v>55</v>
      </c>
      <c r="E37" s="9">
        <v>94</v>
      </c>
      <c r="F37" s="9">
        <v>27</v>
      </c>
      <c r="G37" s="9">
        <f t="shared" si="6"/>
        <v>121</v>
      </c>
      <c r="H37" s="9">
        <f t="shared" si="7"/>
        <v>333</v>
      </c>
      <c r="I37" s="9">
        <v>54</v>
      </c>
      <c r="J37" s="9">
        <v>90</v>
      </c>
      <c r="K37" s="9">
        <v>76</v>
      </c>
      <c r="L37" s="9">
        <v>73</v>
      </c>
      <c r="M37" s="9">
        <v>25</v>
      </c>
      <c r="N37" s="16">
        <f t="shared" si="9"/>
        <v>98</v>
      </c>
      <c r="O37" s="9">
        <f t="shared" si="8"/>
        <v>318</v>
      </c>
      <c r="P37" s="9">
        <v>76</v>
      </c>
      <c r="Q37" s="9">
        <v>89</v>
      </c>
      <c r="R37" s="9">
        <v>76</v>
      </c>
      <c r="S37" s="9">
        <v>33</v>
      </c>
      <c r="T37" s="9">
        <v>36</v>
      </c>
      <c r="U37" s="9">
        <f t="shared" si="4"/>
        <v>69</v>
      </c>
      <c r="V37" s="9">
        <f t="shared" si="5"/>
        <v>310</v>
      </c>
      <c r="W37" s="9"/>
    </row>
    <row r="38" ht="15" spans="1:52">
      <c r="A38" s="51" t="s">
        <v>117</v>
      </c>
      <c r="B38" s="9">
        <v>64</v>
      </c>
      <c r="C38" s="9">
        <v>53</v>
      </c>
      <c r="D38" s="9">
        <v>38</v>
      </c>
      <c r="E38" s="9">
        <v>52</v>
      </c>
      <c r="F38" s="9">
        <v>21</v>
      </c>
      <c r="G38" s="9">
        <f t="shared" si="6"/>
        <v>73</v>
      </c>
      <c r="H38" s="9">
        <f t="shared" si="7"/>
        <v>228</v>
      </c>
      <c r="I38" s="9">
        <v>56</v>
      </c>
      <c r="J38" s="9">
        <v>75</v>
      </c>
      <c r="K38" s="9">
        <v>64</v>
      </c>
      <c r="L38" s="9">
        <v>33</v>
      </c>
      <c r="M38" s="9">
        <v>18</v>
      </c>
      <c r="N38" s="16">
        <f t="shared" si="9"/>
        <v>51</v>
      </c>
      <c r="O38" s="9">
        <f t="shared" si="8"/>
        <v>246</v>
      </c>
      <c r="P38" s="9">
        <v>64</v>
      </c>
      <c r="Q38" s="9">
        <v>50</v>
      </c>
      <c r="R38" s="9">
        <v>72</v>
      </c>
      <c r="S38" s="9">
        <v>52</v>
      </c>
      <c r="T38" s="9">
        <v>25.5</v>
      </c>
      <c r="U38" s="9">
        <f t="shared" si="4"/>
        <v>77.5</v>
      </c>
      <c r="V38" s="9">
        <f t="shared" si="5"/>
        <v>263.5</v>
      </c>
      <c r="W38" s="9"/>
    </row>
    <row r="39" spans="1:52">
      <c r="A39" s="49" t="s">
        <v>118</v>
      </c>
      <c r="B39" s="9">
        <v>76</v>
      </c>
      <c r="C39" s="9">
        <v>87</v>
      </c>
      <c r="D39" s="9">
        <v>68</v>
      </c>
      <c r="E39" s="9">
        <v>88</v>
      </c>
      <c r="F39" s="9">
        <v>34.5</v>
      </c>
      <c r="G39" s="9">
        <f t="shared" si="6"/>
        <v>122.5</v>
      </c>
      <c r="H39" s="9">
        <f t="shared" si="7"/>
        <v>353.5</v>
      </c>
      <c r="I39" s="9">
        <v>70</v>
      </c>
      <c r="J39" s="9">
        <v>93</v>
      </c>
      <c r="K39" s="9">
        <v>80</v>
      </c>
      <c r="L39" s="9">
        <v>78</v>
      </c>
      <c r="M39" s="9">
        <v>22</v>
      </c>
      <c r="N39" s="16">
        <f t="shared" si="9"/>
        <v>100</v>
      </c>
      <c r="O39" s="9">
        <f t="shared" si="8"/>
        <v>343</v>
      </c>
      <c r="P39" s="9">
        <v>76</v>
      </c>
      <c r="Q39" s="9">
        <v>90</v>
      </c>
      <c r="R39" s="9">
        <v>78</v>
      </c>
      <c r="S39" s="9">
        <v>56</v>
      </c>
      <c r="T39" s="9">
        <v>36</v>
      </c>
      <c r="U39" s="9">
        <f t="shared" si="4"/>
        <v>92</v>
      </c>
      <c r="V39" s="9">
        <f t="shared" si="5"/>
        <v>336</v>
      </c>
      <c r="W39" s="9"/>
    </row>
    <row r="40" spans="1:52">
      <c r="A40" s="48" t="s">
        <v>119</v>
      </c>
      <c r="B40" s="9">
        <v>84</v>
      </c>
      <c r="C40" s="9">
        <v>87</v>
      </c>
      <c r="D40" s="9">
        <v>76</v>
      </c>
      <c r="E40" s="9">
        <v>94</v>
      </c>
      <c r="F40" s="9">
        <v>33</v>
      </c>
      <c r="G40" s="9">
        <f t="shared" si="6"/>
        <v>127</v>
      </c>
      <c r="H40" s="9">
        <f t="shared" si="7"/>
        <v>374</v>
      </c>
      <c r="I40" s="9">
        <v>76</v>
      </c>
      <c r="J40" s="9">
        <v>78</v>
      </c>
      <c r="K40" s="9">
        <v>82</v>
      </c>
      <c r="L40" s="9">
        <v>65</v>
      </c>
      <c r="M40" s="9">
        <v>23</v>
      </c>
      <c r="N40" s="16">
        <f t="shared" si="9"/>
        <v>88</v>
      </c>
      <c r="O40" s="9">
        <f t="shared" si="8"/>
        <v>324</v>
      </c>
      <c r="P40" s="9">
        <v>84</v>
      </c>
      <c r="Q40" s="9">
        <v>72</v>
      </c>
      <c r="R40" s="9">
        <v>82</v>
      </c>
      <c r="S40" s="9">
        <v>55</v>
      </c>
      <c r="T40" s="9">
        <v>31.5</v>
      </c>
      <c r="U40" s="9">
        <f t="shared" si="4"/>
        <v>86.5</v>
      </c>
      <c r="V40" s="9">
        <f t="shared" si="5"/>
        <v>324.5</v>
      </c>
      <c r="W40" s="9"/>
    </row>
    <row r="41" spans="1:52">
      <c r="A41" s="48" t="s">
        <v>120</v>
      </c>
      <c r="B41" s="9">
        <v>80</v>
      </c>
      <c r="C41" s="9">
        <v>89</v>
      </c>
      <c r="D41" s="9">
        <v>73</v>
      </c>
      <c r="E41" s="9">
        <v>86</v>
      </c>
      <c r="F41" s="9">
        <v>28.5</v>
      </c>
      <c r="G41" s="9">
        <f t="shared" si="6"/>
        <v>114.5</v>
      </c>
      <c r="H41" s="9">
        <f t="shared" si="7"/>
        <v>356.5</v>
      </c>
      <c r="I41" s="9">
        <v>66</v>
      </c>
      <c r="J41" s="9">
        <v>82</v>
      </c>
      <c r="K41" s="9">
        <v>70</v>
      </c>
      <c r="L41" s="9">
        <v>69</v>
      </c>
      <c r="M41" s="9">
        <v>21</v>
      </c>
      <c r="N41" s="16">
        <f t="shared" si="9"/>
        <v>90</v>
      </c>
      <c r="O41" s="9">
        <f t="shared" si="8"/>
        <v>308</v>
      </c>
      <c r="P41" s="9">
        <v>76</v>
      </c>
      <c r="Q41" s="9">
        <v>72</v>
      </c>
      <c r="R41" s="9">
        <v>74</v>
      </c>
      <c r="S41" s="9">
        <v>56</v>
      </c>
      <c r="T41" s="9">
        <v>36</v>
      </c>
      <c r="U41" s="9">
        <f t="shared" si="4"/>
        <v>92</v>
      </c>
      <c r="V41" s="9">
        <f t="shared" si="5"/>
        <v>314</v>
      </c>
      <c r="W41" s="9"/>
    </row>
    <row r="42" spans="1:52">
      <c r="A42" s="48" t="s">
        <v>121</v>
      </c>
      <c r="B42" s="9">
        <v>70</v>
      </c>
      <c r="C42" s="9">
        <v>72</v>
      </c>
      <c r="D42" s="9">
        <v>72</v>
      </c>
      <c r="E42" s="9">
        <v>78</v>
      </c>
      <c r="F42" s="9">
        <v>25.5</v>
      </c>
      <c r="G42" s="9">
        <f t="shared" si="6"/>
        <v>103.5</v>
      </c>
      <c r="H42" s="9">
        <f t="shared" si="7"/>
        <v>317.5</v>
      </c>
      <c r="I42" s="9">
        <v>58</v>
      </c>
      <c r="J42" s="9">
        <v>67</v>
      </c>
      <c r="K42" s="9">
        <v>72</v>
      </c>
      <c r="L42" s="9">
        <v>32</v>
      </c>
      <c r="M42" s="9">
        <v>22</v>
      </c>
      <c r="N42" s="16">
        <f t="shared" si="9"/>
        <v>54</v>
      </c>
      <c r="O42" s="9">
        <f t="shared" si="8"/>
        <v>251</v>
      </c>
      <c r="P42" s="9">
        <v>76</v>
      </c>
      <c r="Q42" s="9">
        <v>60</v>
      </c>
      <c r="R42" s="9">
        <v>82</v>
      </c>
      <c r="S42" s="9">
        <v>38</v>
      </c>
      <c r="T42" s="9">
        <v>34.5</v>
      </c>
      <c r="U42" s="9">
        <f t="shared" si="4"/>
        <v>72.5</v>
      </c>
      <c r="V42" s="9">
        <f t="shared" si="5"/>
        <v>290.5</v>
      </c>
      <c r="W42" s="9"/>
    </row>
    <row r="43" spans="1:52">
      <c r="A43" s="48" t="s">
        <v>122</v>
      </c>
      <c r="B43" s="9">
        <v>86</v>
      </c>
      <c r="C43" s="9">
        <v>89</v>
      </c>
      <c r="D43" s="9">
        <v>71</v>
      </c>
      <c r="E43" s="9">
        <v>92</v>
      </c>
      <c r="F43" s="9">
        <v>33</v>
      </c>
      <c r="G43" s="9">
        <f t="shared" si="6"/>
        <v>125</v>
      </c>
      <c r="H43" s="9">
        <f t="shared" si="7"/>
        <v>371</v>
      </c>
      <c r="I43" s="9">
        <v>72</v>
      </c>
      <c r="J43" s="9">
        <v>71</v>
      </c>
      <c r="K43" s="9">
        <v>82</v>
      </c>
      <c r="L43" s="9">
        <v>59</v>
      </c>
      <c r="M43" s="9">
        <v>21</v>
      </c>
      <c r="N43" s="16">
        <f t="shared" si="9"/>
        <v>80</v>
      </c>
      <c r="O43" s="9">
        <f t="shared" si="8"/>
        <v>305</v>
      </c>
      <c r="P43" s="9">
        <v>92</v>
      </c>
      <c r="Q43" s="9">
        <v>84</v>
      </c>
      <c r="R43" s="9">
        <v>86</v>
      </c>
      <c r="S43" s="9">
        <v>70</v>
      </c>
      <c r="T43" s="9">
        <v>37.5</v>
      </c>
      <c r="U43" s="9">
        <f t="shared" si="4"/>
        <v>107.5</v>
      </c>
      <c r="V43" s="9">
        <f t="shared" si="5"/>
        <v>369.5</v>
      </c>
      <c r="W43" s="9"/>
    </row>
    <row r="44" spans="1:52">
      <c r="A44" s="52" t="s">
        <v>123</v>
      </c>
      <c r="B44" s="53">
        <v>82</v>
      </c>
      <c r="C44" s="53">
        <v>86</v>
      </c>
      <c r="D44" s="53">
        <v>67</v>
      </c>
      <c r="E44" s="53">
        <v>83</v>
      </c>
      <c r="F44" s="53">
        <v>27</v>
      </c>
      <c r="G44" s="53">
        <f t="shared" si="6"/>
        <v>110</v>
      </c>
      <c r="H44" s="53">
        <f t="shared" si="7"/>
        <v>345</v>
      </c>
      <c r="I44" s="53">
        <v>66</v>
      </c>
      <c r="J44" s="53"/>
      <c r="K44" s="53">
        <v>78</v>
      </c>
      <c r="L44" s="53">
        <v>59</v>
      </c>
      <c r="M44" s="53">
        <v>21</v>
      </c>
      <c r="N44" s="54">
        <f t="shared" si="9"/>
        <v>80</v>
      </c>
      <c r="O44" s="53">
        <f t="shared" si="8"/>
        <v>224</v>
      </c>
      <c r="P44" s="53">
        <v>86</v>
      </c>
      <c r="Q44" s="9">
        <v>70</v>
      </c>
      <c r="R44" s="9">
        <v>60</v>
      </c>
      <c r="S44" s="9">
        <v>28</v>
      </c>
      <c r="T44" s="9">
        <v>34.5</v>
      </c>
      <c r="U44" s="9">
        <f t="shared" si="4"/>
        <v>62.5</v>
      </c>
      <c r="V44" s="9">
        <f t="shared" si="5"/>
        <v>278.5</v>
      </c>
      <c r="W44" s="9"/>
    </row>
    <row r="45" spans="1:52">
      <c r="A45" s="55" t="s">
        <v>124</v>
      </c>
      <c r="B45" s="9">
        <v>74</v>
      </c>
      <c r="C45" s="9">
        <v>94</v>
      </c>
      <c r="D45" s="9">
        <v>74</v>
      </c>
      <c r="E45" s="9">
        <v>95</v>
      </c>
      <c r="F45" s="9">
        <v>33</v>
      </c>
      <c r="G45" s="9">
        <f t="shared" si="6"/>
        <v>128</v>
      </c>
      <c r="H45" s="9">
        <f t="shared" si="7"/>
        <v>370</v>
      </c>
      <c r="I45" s="9">
        <v>70</v>
      </c>
      <c r="J45" s="9">
        <v>94</v>
      </c>
      <c r="K45" s="9">
        <v>80</v>
      </c>
      <c r="L45" s="9">
        <v>91</v>
      </c>
      <c r="M45" s="9">
        <v>24</v>
      </c>
      <c r="N45" s="16">
        <f t="shared" si="9"/>
        <v>115</v>
      </c>
      <c r="O45" s="9">
        <f t="shared" si="8"/>
        <v>359</v>
      </c>
      <c r="P45" s="9">
        <v>80</v>
      </c>
      <c r="Q45" s="9">
        <v>93</v>
      </c>
      <c r="R45" s="9">
        <v>86</v>
      </c>
      <c r="S45" s="9">
        <v>97</v>
      </c>
      <c r="T45" s="9">
        <v>36</v>
      </c>
      <c r="U45" s="9">
        <f t="shared" si="4"/>
        <v>133</v>
      </c>
      <c r="V45" s="9">
        <f t="shared" si="5"/>
        <v>392</v>
      </c>
      <c r="W45" s="9"/>
    </row>
    <row r="46" spans="1:52">
      <c r="A46" s="10" t="s">
        <v>125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>
        <v>70</v>
      </c>
      <c r="Q46" s="9">
        <v>48</v>
      </c>
      <c r="R46" s="9">
        <v>72</v>
      </c>
      <c r="S46" s="9">
        <v>41</v>
      </c>
      <c r="T46" s="9">
        <v>27</v>
      </c>
      <c r="U46" s="9">
        <v>68</v>
      </c>
      <c r="V46" s="9">
        <f t="shared" si="5"/>
        <v>258</v>
      </c>
      <c r="W46" s="9"/>
    </row>
  </sheetData>
  <sheetProtection formatCells="0" formatColumns="0" formatRows="0" insertRows="0" insertColumns="0" insertHyperlinks="0" deleteColumns="0" deleteRows="0" sort="0" autoFilter="0" pivotTables="0"/>
  <mergeCells count="3">
    <mergeCell ref="B1:H1"/>
    <mergeCell ref="I1:O1"/>
    <mergeCell ref="P1:V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0"/>
  <sheetViews>
    <sheetView workbookViewId="0">
      <pane xSplit="1" topLeftCell="B1" activePane="topRight" state="frozen"/>
      <selection/>
      <selection pane="topRight" activeCell="H26" sqref="B26:H26"/>
    </sheetView>
  </sheetViews>
  <sheetFormatPr defaultColWidth="9.62727272727273" defaultRowHeight="14"/>
  <cols>
    <col min="1" max="1" width="10.1272727272727" customWidth="1"/>
    <col min="2" max="3" width="6.5" customWidth="1"/>
    <col min="4" max="4" width="11.3727272727273" customWidth="1"/>
    <col min="5" max="5" width="6.5" customWidth="1"/>
    <col min="6" max="6" width="6.75454545454545" customWidth="1"/>
    <col min="7" max="8" width="8" customWidth="1"/>
    <col min="9" max="10" width="5.5" customWidth="1"/>
    <col min="11" max="11" width="9.5" customWidth="1"/>
    <col min="12" max="14" width="5.5" customWidth="1"/>
    <col min="15" max="15" width="6.75454545454545" customWidth="1"/>
    <col min="16" max="17" width="6.5" customWidth="1"/>
    <col min="18" max="18" width="9.5" customWidth="1"/>
    <col min="19" max="19" width="6.5" customWidth="1"/>
    <col min="20" max="20" width="6.75454545454545" customWidth="1"/>
    <col min="21" max="22" width="8" customWidth="1"/>
  </cols>
  <sheetData>
    <row r="1" ht="23" spans="1:22">
      <c r="A1" s="20"/>
      <c r="B1" s="27" t="s">
        <v>0</v>
      </c>
      <c r="C1" s="27"/>
      <c r="D1" s="27"/>
      <c r="E1" s="27"/>
      <c r="F1" s="27"/>
      <c r="G1" s="27"/>
      <c r="H1" s="27"/>
      <c r="I1" s="28" t="s">
        <v>1</v>
      </c>
      <c r="J1" s="27"/>
      <c r="K1" s="27"/>
      <c r="L1" s="27"/>
      <c r="M1" s="27"/>
      <c r="N1" s="27"/>
      <c r="O1" s="27"/>
      <c r="P1" s="27" t="s">
        <v>2</v>
      </c>
      <c r="Q1" s="27"/>
      <c r="R1" s="27"/>
      <c r="S1" s="27"/>
      <c r="T1" s="27"/>
      <c r="U1" s="27"/>
      <c r="V1" s="27"/>
    </row>
    <row r="2" ht="17.5" spans="1:22">
      <c r="A2" s="20" t="s">
        <v>3</v>
      </c>
      <c r="B2" s="29" t="s">
        <v>4</v>
      </c>
      <c r="C2" s="29" t="s">
        <v>5</v>
      </c>
      <c r="D2" s="30" t="s">
        <v>6</v>
      </c>
      <c r="E2" s="29" t="s">
        <v>7</v>
      </c>
      <c r="F2" s="20" t="s">
        <v>38</v>
      </c>
      <c r="G2" s="31" t="s">
        <v>9</v>
      </c>
      <c r="H2" s="29" t="s">
        <v>10</v>
      </c>
      <c r="I2" s="32" t="s">
        <v>4</v>
      </c>
      <c r="J2" s="32" t="s">
        <v>5</v>
      </c>
      <c r="K2" s="33" t="s">
        <v>6</v>
      </c>
      <c r="L2" s="32" t="s">
        <v>7</v>
      </c>
      <c r="M2" s="34" t="s">
        <v>38</v>
      </c>
      <c r="N2" s="35" t="s">
        <v>9</v>
      </c>
      <c r="O2" s="32" t="s">
        <v>10</v>
      </c>
      <c r="P2" s="32" t="s">
        <v>4</v>
      </c>
      <c r="Q2" s="32" t="s">
        <v>5</v>
      </c>
      <c r="R2" s="33" t="s">
        <v>6</v>
      </c>
      <c r="S2" s="32" t="s">
        <v>7</v>
      </c>
      <c r="T2" s="34" t="s">
        <v>38</v>
      </c>
      <c r="U2" s="35" t="s">
        <v>9</v>
      </c>
      <c r="V2" s="32" t="s">
        <v>10</v>
      </c>
    </row>
    <row r="3" ht="17.5" spans="1:22">
      <c r="A3" s="20" t="s">
        <v>126</v>
      </c>
      <c r="B3" s="36">
        <v>64</v>
      </c>
      <c r="C3" s="36">
        <v>58</v>
      </c>
      <c r="D3" s="36">
        <v>40</v>
      </c>
      <c r="E3" s="36">
        <v>48</v>
      </c>
      <c r="F3" s="36">
        <v>22.5</v>
      </c>
      <c r="G3" s="36">
        <f t="shared" ref="G3:G23" si="0">SUM(E3,F3)</f>
        <v>70.5</v>
      </c>
      <c r="H3" s="36">
        <f t="shared" ref="H3:H23" si="1">SUM(B3,C3,D3,G3)</f>
        <v>232.5</v>
      </c>
      <c r="I3" s="36">
        <v>52</v>
      </c>
      <c r="J3" s="36">
        <v>38</v>
      </c>
      <c r="K3" s="36">
        <v>46</v>
      </c>
      <c r="L3" s="36">
        <v>52</v>
      </c>
      <c r="M3" s="37">
        <v>30</v>
      </c>
      <c r="N3" s="36">
        <f t="shared" ref="N3:N17" si="2">SUM(L3,M3)</f>
        <v>82</v>
      </c>
      <c r="O3" s="36">
        <f t="shared" ref="O3:O17" si="3">SUM(I3,J3,K3,N3)</f>
        <v>218</v>
      </c>
      <c r="P3" s="36">
        <v>68</v>
      </c>
      <c r="Q3" s="36">
        <v>49</v>
      </c>
      <c r="R3" s="36">
        <v>54</v>
      </c>
      <c r="S3" s="36">
        <v>75</v>
      </c>
      <c r="T3" s="36">
        <v>22.5</v>
      </c>
      <c r="U3" s="36">
        <f t="shared" ref="U3:U45" si="4">SUM(S3,T3)</f>
        <v>97.5</v>
      </c>
      <c r="V3" s="36">
        <f t="shared" ref="V3:V45" si="5">SUM(P3,Q3,R3,U3)</f>
        <v>268.5</v>
      </c>
    </row>
    <row r="4" ht="17.5" spans="1:22">
      <c r="A4" s="20" t="s">
        <v>127</v>
      </c>
      <c r="B4" s="36">
        <v>56</v>
      </c>
      <c r="C4" s="36">
        <v>59</v>
      </c>
      <c r="D4" s="36">
        <v>62</v>
      </c>
      <c r="E4" s="36">
        <v>81</v>
      </c>
      <c r="F4" s="36">
        <v>31.5</v>
      </c>
      <c r="G4" s="36">
        <f t="shared" si="0"/>
        <v>112.5</v>
      </c>
      <c r="H4" s="36">
        <f t="shared" si="1"/>
        <v>289.5</v>
      </c>
      <c r="I4" s="8"/>
      <c r="J4" s="8"/>
      <c r="K4" s="8"/>
      <c r="L4" s="8"/>
      <c r="M4" s="8"/>
      <c r="N4" s="8"/>
      <c r="O4" s="8"/>
      <c r="P4" s="36">
        <v>66</v>
      </c>
      <c r="Q4" s="8">
        <v>60</v>
      </c>
      <c r="R4" s="36">
        <v>72</v>
      </c>
      <c r="S4" s="36">
        <v>47</v>
      </c>
      <c r="T4" s="36">
        <v>28.5</v>
      </c>
      <c r="U4" s="36">
        <f t="shared" si="4"/>
        <v>75.5</v>
      </c>
      <c r="V4" s="36">
        <f t="shared" si="5"/>
        <v>273.5</v>
      </c>
    </row>
    <row r="5" ht="17.5" spans="1:22">
      <c r="A5" s="20" t="s">
        <v>128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</row>
    <row r="6" ht="17.5" spans="1:22">
      <c r="A6" s="20" t="s">
        <v>129</v>
      </c>
      <c r="B6" s="36">
        <v>84</v>
      </c>
      <c r="C6" s="36">
        <v>76</v>
      </c>
      <c r="D6" s="36">
        <v>66</v>
      </c>
      <c r="E6" s="36">
        <v>84</v>
      </c>
      <c r="F6" s="36">
        <v>34.5</v>
      </c>
      <c r="G6" s="36">
        <f t="shared" si="0"/>
        <v>118.5</v>
      </c>
      <c r="H6" s="36">
        <f t="shared" si="1"/>
        <v>344.5</v>
      </c>
      <c r="I6" s="36">
        <v>56</v>
      </c>
      <c r="J6" s="36">
        <v>90</v>
      </c>
      <c r="K6" s="36">
        <v>84</v>
      </c>
      <c r="L6" s="36">
        <v>78</v>
      </c>
      <c r="M6" s="7">
        <v>38</v>
      </c>
      <c r="N6" s="36">
        <f t="shared" si="2"/>
        <v>116</v>
      </c>
      <c r="O6" s="36">
        <f t="shared" si="3"/>
        <v>346</v>
      </c>
      <c r="P6" s="36">
        <v>76</v>
      </c>
      <c r="Q6" s="36">
        <v>54</v>
      </c>
      <c r="R6" s="36">
        <v>68</v>
      </c>
      <c r="S6" s="36">
        <v>84</v>
      </c>
      <c r="T6" s="36">
        <v>36</v>
      </c>
      <c r="U6" s="36">
        <f t="shared" si="4"/>
        <v>120</v>
      </c>
      <c r="V6" s="36">
        <f t="shared" si="5"/>
        <v>318</v>
      </c>
    </row>
    <row r="7" ht="17.5" spans="1:22">
      <c r="A7" s="20" t="s">
        <v>130</v>
      </c>
      <c r="B7" s="36">
        <v>46</v>
      </c>
      <c r="C7" s="36">
        <v>60</v>
      </c>
      <c r="D7" s="36">
        <v>65</v>
      </c>
      <c r="E7" s="36">
        <v>60</v>
      </c>
      <c r="F7" s="36">
        <v>36</v>
      </c>
      <c r="G7" s="36">
        <f t="shared" si="0"/>
        <v>96</v>
      </c>
      <c r="H7" s="36">
        <f t="shared" si="1"/>
        <v>267</v>
      </c>
      <c r="I7" s="36">
        <v>64</v>
      </c>
      <c r="J7" s="36">
        <v>63</v>
      </c>
      <c r="K7" s="36">
        <v>62</v>
      </c>
      <c r="L7" s="36">
        <v>64</v>
      </c>
      <c r="M7" s="7">
        <v>32</v>
      </c>
      <c r="N7" s="36">
        <f t="shared" si="2"/>
        <v>96</v>
      </c>
      <c r="O7" s="36">
        <f t="shared" si="3"/>
        <v>285</v>
      </c>
      <c r="P7" s="36">
        <v>72</v>
      </c>
      <c r="Q7" s="36">
        <v>41</v>
      </c>
      <c r="R7" s="36">
        <v>64</v>
      </c>
      <c r="S7" s="36">
        <v>62</v>
      </c>
      <c r="T7" s="36">
        <v>34.5</v>
      </c>
      <c r="U7" s="36">
        <f t="shared" si="4"/>
        <v>96.5</v>
      </c>
      <c r="V7" s="36">
        <f t="shared" si="5"/>
        <v>273.5</v>
      </c>
    </row>
    <row r="8" ht="17.5" spans="1:22">
      <c r="A8" s="20" t="s">
        <v>131</v>
      </c>
      <c r="B8" s="36">
        <v>86</v>
      </c>
      <c r="C8" s="36">
        <v>90</v>
      </c>
      <c r="D8" s="36">
        <v>71</v>
      </c>
      <c r="E8" s="36">
        <v>86</v>
      </c>
      <c r="F8" s="36">
        <v>42</v>
      </c>
      <c r="G8" s="36">
        <f t="shared" si="0"/>
        <v>128</v>
      </c>
      <c r="H8" s="36">
        <f t="shared" si="1"/>
        <v>375</v>
      </c>
      <c r="I8" s="36">
        <v>84</v>
      </c>
      <c r="J8" s="36">
        <v>90</v>
      </c>
      <c r="K8" s="36">
        <v>84</v>
      </c>
      <c r="L8" s="36">
        <v>71</v>
      </c>
      <c r="M8" s="7">
        <v>42</v>
      </c>
      <c r="N8" s="36">
        <f t="shared" si="2"/>
        <v>113</v>
      </c>
      <c r="O8" s="36">
        <f t="shared" si="3"/>
        <v>371</v>
      </c>
      <c r="P8" s="8"/>
      <c r="Q8" s="8"/>
      <c r="R8" s="8"/>
      <c r="S8" s="8"/>
      <c r="T8" s="8"/>
      <c r="U8" s="8"/>
      <c r="V8" s="8"/>
    </row>
    <row r="9" ht="17.5" spans="1:22">
      <c r="A9" s="20" t="s">
        <v>132</v>
      </c>
      <c r="B9" s="36">
        <v>72</v>
      </c>
      <c r="C9" s="36">
        <v>92</v>
      </c>
      <c r="D9" s="36">
        <v>70</v>
      </c>
      <c r="E9" s="36">
        <v>80</v>
      </c>
      <c r="F9" s="36">
        <v>39</v>
      </c>
      <c r="G9" s="36">
        <f t="shared" si="0"/>
        <v>119</v>
      </c>
      <c r="H9" s="36">
        <f t="shared" si="1"/>
        <v>353</v>
      </c>
      <c r="I9" s="36">
        <v>52</v>
      </c>
      <c r="J9" s="36">
        <v>85</v>
      </c>
      <c r="K9" s="36">
        <v>72</v>
      </c>
      <c r="L9" s="36">
        <v>70</v>
      </c>
      <c r="M9" s="7">
        <v>38</v>
      </c>
      <c r="N9" s="36">
        <f t="shared" si="2"/>
        <v>108</v>
      </c>
      <c r="O9" s="36">
        <f t="shared" si="3"/>
        <v>317</v>
      </c>
      <c r="P9" s="8"/>
      <c r="Q9" s="8"/>
      <c r="R9" s="8"/>
      <c r="S9" s="8"/>
      <c r="T9" s="8"/>
      <c r="U9" s="8"/>
      <c r="V9" s="8"/>
    </row>
    <row r="10" ht="17.5" spans="1:22">
      <c r="A10" s="20" t="s">
        <v>133</v>
      </c>
      <c r="B10" s="36">
        <v>50</v>
      </c>
      <c r="C10" s="36">
        <v>69</v>
      </c>
      <c r="D10" s="36">
        <v>48</v>
      </c>
      <c r="E10" s="36">
        <v>71</v>
      </c>
      <c r="F10" s="36">
        <v>24</v>
      </c>
      <c r="G10" s="36">
        <f t="shared" si="0"/>
        <v>95</v>
      </c>
      <c r="H10" s="36">
        <f t="shared" si="1"/>
        <v>262</v>
      </c>
      <c r="I10" s="36">
        <v>40</v>
      </c>
      <c r="J10" s="36">
        <v>63</v>
      </c>
      <c r="K10" s="36">
        <v>64</v>
      </c>
      <c r="L10" s="36">
        <v>31</v>
      </c>
      <c r="M10" s="7">
        <v>30</v>
      </c>
      <c r="N10" s="36">
        <f t="shared" si="2"/>
        <v>61</v>
      </c>
      <c r="O10" s="36">
        <f t="shared" si="3"/>
        <v>228</v>
      </c>
      <c r="P10" s="36">
        <v>58</v>
      </c>
      <c r="Q10" s="36">
        <v>45</v>
      </c>
      <c r="R10" s="36">
        <v>62</v>
      </c>
      <c r="S10" s="36">
        <v>43</v>
      </c>
      <c r="T10" s="36">
        <v>30</v>
      </c>
      <c r="U10" s="36">
        <f t="shared" si="4"/>
        <v>73</v>
      </c>
      <c r="V10" s="36">
        <f t="shared" si="5"/>
        <v>238</v>
      </c>
    </row>
    <row r="11" ht="17.5" spans="1:22">
      <c r="A11" s="20" t="s">
        <v>134</v>
      </c>
      <c r="B11" s="36">
        <v>58</v>
      </c>
      <c r="C11" s="36">
        <v>71</v>
      </c>
      <c r="D11" s="36">
        <v>56</v>
      </c>
      <c r="E11" s="36">
        <v>80</v>
      </c>
      <c r="F11" s="36">
        <v>37.5</v>
      </c>
      <c r="G11" s="36">
        <f t="shared" si="0"/>
        <v>117.5</v>
      </c>
      <c r="H11" s="36">
        <f t="shared" si="1"/>
        <v>302.5</v>
      </c>
      <c r="I11" s="36">
        <v>66</v>
      </c>
      <c r="J11" s="36">
        <v>81</v>
      </c>
      <c r="K11" s="36">
        <v>72</v>
      </c>
      <c r="L11" s="36">
        <v>66</v>
      </c>
      <c r="M11" s="7">
        <v>32</v>
      </c>
      <c r="N11" s="36">
        <f t="shared" si="2"/>
        <v>98</v>
      </c>
      <c r="O11" s="36">
        <f t="shared" si="3"/>
        <v>317</v>
      </c>
      <c r="P11" s="36">
        <v>74</v>
      </c>
      <c r="Q11" s="36">
        <v>73</v>
      </c>
      <c r="R11" s="36">
        <v>64</v>
      </c>
      <c r="S11" s="36">
        <v>56</v>
      </c>
      <c r="T11" s="36">
        <v>36</v>
      </c>
      <c r="U11" s="36">
        <f t="shared" si="4"/>
        <v>92</v>
      </c>
      <c r="V11" s="36">
        <f t="shared" si="5"/>
        <v>303</v>
      </c>
    </row>
    <row r="12" ht="17.5" spans="1:22">
      <c r="A12" s="20" t="s">
        <v>135</v>
      </c>
      <c r="B12" s="36">
        <v>80</v>
      </c>
      <c r="C12" s="36">
        <v>85</v>
      </c>
      <c r="D12" s="36">
        <v>58</v>
      </c>
      <c r="E12" s="36">
        <v>79</v>
      </c>
      <c r="F12" s="36">
        <v>33</v>
      </c>
      <c r="G12" s="36">
        <f t="shared" si="0"/>
        <v>112</v>
      </c>
      <c r="H12" s="36">
        <f t="shared" si="1"/>
        <v>335</v>
      </c>
      <c r="I12" s="36">
        <v>64</v>
      </c>
      <c r="J12" s="36">
        <v>83</v>
      </c>
      <c r="K12" s="36">
        <v>48</v>
      </c>
      <c r="L12" s="36">
        <v>59</v>
      </c>
      <c r="M12" s="7">
        <v>32</v>
      </c>
      <c r="N12" s="36">
        <f t="shared" si="2"/>
        <v>91</v>
      </c>
      <c r="O12" s="36">
        <f t="shared" si="3"/>
        <v>286</v>
      </c>
      <c r="P12" s="36">
        <v>76</v>
      </c>
      <c r="Q12" s="36">
        <v>67</v>
      </c>
      <c r="R12" s="36">
        <v>66</v>
      </c>
      <c r="S12" s="36">
        <v>67</v>
      </c>
      <c r="T12" s="36">
        <v>33</v>
      </c>
      <c r="U12" s="36">
        <f t="shared" si="4"/>
        <v>100</v>
      </c>
      <c r="V12" s="36">
        <f t="shared" si="5"/>
        <v>309</v>
      </c>
    </row>
    <row r="13" ht="17.5" spans="1:22">
      <c r="A13" s="20" t="s">
        <v>136</v>
      </c>
      <c r="B13" s="36">
        <v>78</v>
      </c>
      <c r="C13" s="36">
        <v>80</v>
      </c>
      <c r="D13" s="36">
        <v>75</v>
      </c>
      <c r="E13" s="36">
        <v>94</v>
      </c>
      <c r="F13" s="36">
        <v>37.5</v>
      </c>
      <c r="G13" s="36">
        <f t="shared" si="0"/>
        <v>131.5</v>
      </c>
      <c r="H13" s="36">
        <f t="shared" si="1"/>
        <v>364.5</v>
      </c>
      <c r="I13" s="36">
        <v>72</v>
      </c>
      <c r="J13" s="36">
        <v>92</v>
      </c>
      <c r="K13" s="36">
        <v>86</v>
      </c>
      <c r="L13" s="36">
        <v>80</v>
      </c>
      <c r="M13" s="7">
        <v>41</v>
      </c>
      <c r="N13" s="36">
        <f t="shared" si="2"/>
        <v>121</v>
      </c>
      <c r="O13" s="36">
        <f t="shared" si="3"/>
        <v>371</v>
      </c>
      <c r="P13" s="8"/>
      <c r="Q13" s="8"/>
      <c r="R13" s="8"/>
      <c r="S13" s="8"/>
      <c r="T13" s="8"/>
      <c r="U13" s="8"/>
      <c r="V13" s="8"/>
    </row>
    <row r="14" ht="17.5" spans="1:22">
      <c r="A14" s="20" t="s">
        <v>137</v>
      </c>
      <c r="B14" s="36">
        <v>68</v>
      </c>
      <c r="C14" s="36">
        <v>88</v>
      </c>
      <c r="D14" s="36">
        <v>77</v>
      </c>
      <c r="E14" s="36">
        <v>73</v>
      </c>
      <c r="F14" s="36">
        <v>28.5</v>
      </c>
      <c r="G14" s="36">
        <f t="shared" si="0"/>
        <v>101.5</v>
      </c>
      <c r="H14" s="36">
        <f t="shared" si="1"/>
        <v>334.5</v>
      </c>
      <c r="I14" s="36">
        <v>58</v>
      </c>
      <c r="J14" s="36">
        <v>90</v>
      </c>
      <c r="K14" s="36">
        <v>64</v>
      </c>
      <c r="L14" s="36">
        <v>63</v>
      </c>
      <c r="M14" s="7">
        <v>36</v>
      </c>
      <c r="N14" s="36">
        <f t="shared" si="2"/>
        <v>99</v>
      </c>
      <c r="O14" s="36">
        <f t="shared" si="3"/>
        <v>311</v>
      </c>
      <c r="P14" s="36">
        <v>76</v>
      </c>
      <c r="Q14" s="36">
        <v>73</v>
      </c>
      <c r="R14" s="36">
        <v>82</v>
      </c>
      <c r="S14" s="36">
        <v>68</v>
      </c>
      <c r="T14" s="36">
        <v>36</v>
      </c>
      <c r="U14" s="36">
        <f t="shared" si="4"/>
        <v>104</v>
      </c>
      <c r="V14" s="36">
        <f t="shared" si="5"/>
        <v>335</v>
      </c>
    </row>
    <row r="15" ht="17.5" spans="1:22">
      <c r="A15" s="20" t="s">
        <v>138</v>
      </c>
      <c r="B15" s="36">
        <v>76</v>
      </c>
      <c r="C15" s="36">
        <v>96</v>
      </c>
      <c r="D15" s="36">
        <v>84</v>
      </c>
      <c r="E15" s="36">
        <v>90</v>
      </c>
      <c r="F15" s="36">
        <v>42</v>
      </c>
      <c r="G15" s="36">
        <f t="shared" si="0"/>
        <v>132</v>
      </c>
      <c r="H15" s="36">
        <f t="shared" si="1"/>
        <v>388</v>
      </c>
      <c r="I15" s="36">
        <v>84</v>
      </c>
      <c r="J15" s="36">
        <v>99</v>
      </c>
      <c r="K15" s="36">
        <v>86</v>
      </c>
      <c r="L15" s="36">
        <v>84</v>
      </c>
      <c r="M15" s="7">
        <v>41</v>
      </c>
      <c r="N15" s="36">
        <f t="shared" si="2"/>
        <v>125</v>
      </c>
      <c r="O15" s="36">
        <f t="shared" si="3"/>
        <v>394</v>
      </c>
      <c r="P15" s="36">
        <v>90</v>
      </c>
      <c r="Q15" s="36">
        <v>100</v>
      </c>
      <c r="R15" s="36">
        <v>94</v>
      </c>
      <c r="S15" s="36">
        <v>98</v>
      </c>
      <c r="T15" s="36">
        <v>40.5</v>
      </c>
      <c r="U15" s="36">
        <f t="shared" si="4"/>
        <v>138.5</v>
      </c>
      <c r="V15" s="36">
        <f t="shared" si="5"/>
        <v>422.5</v>
      </c>
    </row>
    <row r="16" ht="17.5" spans="1:22">
      <c r="A16" s="38" t="s">
        <v>139</v>
      </c>
      <c r="B16" s="36">
        <v>72</v>
      </c>
      <c r="C16" s="36">
        <v>99</v>
      </c>
      <c r="D16" s="36">
        <v>81</v>
      </c>
      <c r="E16" s="36">
        <v>90</v>
      </c>
      <c r="F16" s="36">
        <v>40.5</v>
      </c>
      <c r="G16" s="36">
        <f t="shared" si="0"/>
        <v>130.5</v>
      </c>
      <c r="H16" s="36">
        <f t="shared" si="1"/>
        <v>382.5</v>
      </c>
      <c r="I16" s="36">
        <v>78</v>
      </c>
      <c r="J16" s="36">
        <v>99</v>
      </c>
      <c r="K16" s="36">
        <v>76</v>
      </c>
      <c r="L16" s="36">
        <v>81</v>
      </c>
      <c r="M16" s="7">
        <v>38</v>
      </c>
      <c r="N16" s="36">
        <f t="shared" si="2"/>
        <v>119</v>
      </c>
      <c r="O16" s="36">
        <f t="shared" si="3"/>
        <v>372</v>
      </c>
      <c r="P16" s="36">
        <v>84</v>
      </c>
      <c r="Q16" s="36">
        <v>84</v>
      </c>
      <c r="R16" s="36">
        <v>76</v>
      </c>
      <c r="S16" s="36">
        <v>85</v>
      </c>
      <c r="T16" s="36">
        <v>36</v>
      </c>
      <c r="U16" s="36">
        <f t="shared" si="4"/>
        <v>121</v>
      </c>
      <c r="V16" s="36">
        <f t="shared" si="5"/>
        <v>365</v>
      </c>
    </row>
    <row r="17" ht="17.5" spans="1:22">
      <c r="A17" s="38" t="s">
        <v>140</v>
      </c>
      <c r="B17" s="36">
        <v>80</v>
      </c>
      <c r="C17" s="36">
        <v>89</v>
      </c>
      <c r="D17" s="36">
        <v>76</v>
      </c>
      <c r="E17" s="36">
        <v>81</v>
      </c>
      <c r="F17" s="36">
        <v>27</v>
      </c>
      <c r="G17" s="36">
        <f t="shared" si="0"/>
        <v>108</v>
      </c>
      <c r="H17" s="36">
        <f t="shared" si="1"/>
        <v>353</v>
      </c>
      <c r="I17" s="36">
        <v>68</v>
      </c>
      <c r="J17" s="36">
        <v>76</v>
      </c>
      <c r="K17" s="36">
        <v>76</v>
      </c>
      <c r="L17" s="36">
        <v>53</v>
      </c>
      <c r="M17" s="7">
        <v>33</v>
      </c>
      <c r="N17" s="36">
        <f t="shared" si="2"/>
        <v>86</v>
      </c>
      <c r="O17" s="36">
        <f t="shared" si="3"/>
        <v>306</v>
      </c>
      <c r="P17" s="8"/>
      <c r="Q17" s="8"/>
      <c r="R17" s="8"/>
      <c r="S17" s="8"/>
      <c r="T17" s="8"/>
      <c r="U17" s="8"/>
      <c r="V17" s="8"/>
    </row>
    <row r="18" ht="17.5" spans="1:22">
      <c r="A18" s="38" t="s">
        <v>141</v>
      </c>
      <c r="B18" s="36">
        <v>62</v>
      </c>
      <c r="C18" s="36">
        <v>66</v>
      </c>
      <c r="D18" s="36">
        <v>65</v>
      </c>
      <c r="E18" s="36">
        <v>77</v>
      </c>
      <c r="F18" s="36">
        <v>30</v>
      </c>
      <c r="G18" s="36">
        <f t="shared" si="0"/>
        <v>107</v>
      </c>
      <c r="H18" s="36">
        <f t="shared" si="1"/>
        <v>300</v>
      </c>
      <c r="I18" s="8"/>
      <c r="J18" s="8"/>
      <c r="K18" s="8"/>
      <c r="L18" s="8"/>
      <c r="M18" s="8"/>
      <c r="N18" s="8"/>
      <c r="O18" s="8"/>
      <c r="P18" s="36">
        <v>78</v>
      </c>
      <c r="Q18" s="8">
        <v>50</v>
      </c>
      <c r="R18" s="36">
        <v>84</v>
      </c>
      <c r="S18" s="36">
        <v>57</v>
      </c>
      <c r="T18" s="36">
        <v>33</v>
      </c>
      <c r="U18" s="36">
        <f t="shared" si="4"/>
        <v>90</v>
      </c>
      <c r="V18" s="36">
        <f t="shared" si="5"/>
        <v>302</v>
      </c>
    </row>
    <row r="19" ht="17.5" spans="1:22">
      <c r="A19" s="38" t="s">
        <v>142</v>
      </c>
      <c r="B19" s="36">
        <v>82</v>
      </c>
      <c r="C19" s="36">
        <v>87</v>
      </c>
      <c r="D19" s="36">
        <v>71</v>
      </c>
      <c r="E19" s="36">
        <v>96</v>
      </c>
      <c r="F19" s="36">
        <v>31.5</v>
      </c>
      <c r="G19" s="36">
        <f t="shared" si="0"/>
        <v>127.5</v>
      </c>
      <c r="H19" s="36">
        <f t="shared" si="1"/>
        <v>367.5</v>
      </c>
      <c r="I19" s="36">
        <v>68</v>
      </c>
      <c r="J19" s="36">
        <v>99</v>
      </c>
      <c r="K19" s="36">
        <v>78</v>
      </c>
      <c r="L19" s="36">
        <v>87</v>
      </c>
      <c r="M19" s="7">
        <v>30</v>
      </c>
      <c r="N19" s="36">
        <f t="shared" ref="N19:N22" si="6">SUM(L19,M19)</f>
        <v>117</v>
      </c>
      <c r="O19" s="36">
        <f t="shared" ref="O19:O22" si="7">SUM(I19,J19,K19,N19)</f>
        <v>362</v>
      </c>
      <c r="P19" s="36">
        <v>84</v>
      </c>
      <c r="Q19" s="36">
        <v>89</v>
      </c>
      <c r="R19" s="36">
        <v>80</v>
      </c>
      <c r="S19" s="36">
        <v>97</v>
      </c>
      <c r="T19" s="36">
        <v>37.5</v>
      </c>
      <c r="U19" s="36">
        <f t="shared" si="4"/>
        <v>134.5</v>
      </c>
      <c r="V19" s="36">
        <f t="shared" si="5"/>
        <v>387.5</v>
      </c>
    </row>
    <row r="20" ht="17.5" spans="1:22">
      <c r="A20" s="38" t="s">
        <v>143</v>
      </c>
      <c r="B20" s="36">
        <v>84</v>
      </c>
      <c r="C20" s="36">
        <v>96</v>
      </c>
      <c r="D20" s="36">
        <v>78</v>
      </c>
      <c r="E20" s="36">
        <v>92</v>
      </c>
      <c r="F20" s="36">
        <v>31.5</v>
      </c>
      <c r="G20" s="36">
        <f t="shared" si="0"/>
        <v>123.5</v>
      </c>
      <c r="H20" s="36">
        <f t="shared" si="1"/>
        <v>381.5</v>
      </c>
      <c r="I20" s="36">
        <v>72</v>
      </c>
      <c r="J20" s="36">
        <v>96</v>
      </c>
      <c r="K20" s="36">
        <v>82</v>
      </c>
      <c r="L20" s="36">
        <v>87</v>
      </c>
      <c r="M20" s="7">
        <v>35</v>
      </c>
      <c r="N20" s="36">
        <f t="shared" si="6"/>
        <v>122</v>
      </c>
      <c r="O20" s="36">
        <f t="shared" si="7"/>
        <v>372</v>
      </c>
      <c r="P20" s="36">
        <v>86</v>
      </c>
      <c r="Q20" s="36">
        <v>85</v>
      </c>
      <c r="R20" s="36">
        <v>96</v>
      </c>
      <c r="S20" s="36">
        <v>94</v>
      </c>
      <c r="T20" s="36">
        <v>33</v>
      </c>
      <c r="U20" s="36">
        <f t="shared" si="4"/>
        <v>127</v>
      </c>
      <c r="V20" s="36">
        <f t="shared" si="5"/>
        <v>394</v>
      </c>
    </row>
    <row r="21" ht="17.5" spans="1:22">
      <c r="A21" s="38" t="s">
        <v>144</v>
      </c>
      <c r="B21" s="36">
        <v>86</v>
      </c>
      <c r="C21" s="36">
        <v>79</v>
      </c>
      <c r="D21" s="36">
        <v>81</v>
      </c>
      <c r="E21" s="36">
        <v>67</v>
      </c>
      <c r="F21" s="36">
        <v>27</v>
      </c>
      <c r="G21" s="36">
        <f t="shared" si="0"/>
        <v>94</v>
      </c>
      <c r="H21" s="36">
        <f t="shared" si="1"/>
        <v>340</v>
      </c>
      <c r="I21" s="36">
        <v>74</v>
      </c>
      <c r="J21" s="36">
        <v>76</v>
      </c>
      <c r="K21" s="36">
        <v>74</v>
      </c>
      <c r="L21" s="36">
        <v>63</v>
      </c>
      <c r="M21" s="7">
        <v>30</v>
      </c>
      <c r="N21" s="36">
        <f t="shared" si="6"/>
        <v>93</v>
      </c>
      <c r="O21" s="36">
        <f t="shared" si="7"/>
        <v>317</v>
      </c>
      <c r="P21" s="36">
        <v>88</v>
      </c>
      <c r="Q21" s="36">
        <v>64</v>
      </c>
      <c r="R21" s="36">
        <v>78</v>
      </c>
      <c r="S21" s="36">
        <v>55</v>
      </c>
      <c r="T21" s="36">
        <v>37.5</v>
      </c>
      <c r="U21" s="36">
        <f t="shared" si="4"/>
        <v>92.5</v>
      </c>
      <c r="V21" s="36">
        <f t="shared" si="5"/>
        <v>322.5</v>
      </c>
    </row>
    <row r="22" ht="17.5" spans="1:22">
      <c r="A22" s="38" t="s">
        <v>145</v>
      </c>
      <c r="B22" s="36">
        <v>78</v>
      </c>
      <c r="C22" s="36">
        <v>70</v>
      </c>
      <c r="D22" s="36">
        <v>62</v>
      </c>
      <c r="E22" s="36">
        <v>66</v>
      </c>
      <c r="F22" s="36">
        <v>28.5</v>
      </c>
      <c r="G22" s="36">
        <f t="shared" si="0"/>
        <v>94.5</v>
      </c>
      <c r="H22" s="36">
        <f t="shared" si="1"/>
        <v>304.5</v>
      </c>
      <c r="I22" s="36">
        <v>58</v>
      </c>
      <c r="J22" s="36">
        <v>57</v>
      </c>
      <c r="K22" s="36">
        <v>58</v>
      </c>
      <c r="L22" s="36">
        <v>25</v>
      </c>
      <c r="M22" s="7">
        <v>35</v>
      </c>
      <c r="N22" s="36">
        <f t="shared" si="6"/>
        <v>60</v>
      </c>
      <c r="O22" s="36">
        <f t="shared" si="7"/>
        <v>233</v>
      </c>
      <c r="P22" s="36">
        <v>64</v>
      </c>
      <c r="Q22" s="36">
        <v>39</v>
      </c>
      <c r="R22" s="36">
        <v>70</v>
      </c>
      <c r="S22" s="36">
        <v>51</v>
      </c>
      <c r="T22" s="36">
        <v>39</v>
      </c>
      <c r="U22" s="36">
        <f t="shared" si="4"/>
        <v>90</v>
      </c>
      <c r="V22" s="36">
        <f t="shared" si="5"/>
        <v>263</v>
      </c>
    </row>
    <row r="23" ht="17.5" spans="1:22">
      <c r="A23" s="38" t="s">
        <v>146</v>
      </c>
      <c r="B23" s="36">
        <v>70</v>
      </c>
      <c r="C23" s="36">
        <v>67</v>
      </c>
      <c r="D23" s="36">
        <v>53</v>
      </c>
      <c r="E23" s="36">
        <v>68</v>
      </c>
      <c r="F23" s="36">
        <v>31.5</v>
      </c>
      <c r="G23" s="36">
        <f t="shared" si="0"/>
        <v>99.5</v>
      </c>
      <c r="H23" s="36">
        <f t="shared" si="1"/>
        <v>289.5</v>
      </c>
      <c r="I23" s="8"/>
      <c r="J23" s="8"/>
      <c r="K23" s="8"/>
      <c r="L23" s="8"/>
      <c r="M23" s="8"/>
      <c r="N23" s="8"/>
      <c r="O23" s="8"/>
      <c r="P23" s="36">
        <v>72</v>
      </c>
      <c r="Q23" s="8">
        <v>67</v>
      </c>
      <c r="R23" s="36">
        <v>48</v>
      </c>
      <c r="S23" s="36">
        <v>37</v>
      </c>
      <c r="T23" s="36">
        <v>27</v>
      </c>
      <c r="U23" s="36">
        <f t="shared" si="4"/>
        <v>64</v>
      </c>
      <c r="V23" s="36">
        <f t="shared" si="5"/>
        <v>251</v>
      </c>
    </row>
    <row r="24" ht="17.5" spans="1:22">
      <c r="A24" s="38" t="s">
        <v>147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</row>
    <row r="25" ht="17.5" spans="1:22">
      <c r="A25" s="38" t="s">
        <v>148</v>
      </c>
      <c r="B25" s="36">
        <v>68</v>
      </c>
      <c r="C25" s="8">
        <v>81</v>
      </c>
      <c r="D25" s="36">
        <v>76</v>
      </c>
      <c r="E25" s="36">
        <v>92</v>
      </c>
      <c r="F25" s="36">
        <v>31.5</v>
      </c>
      <c r="G25" s="36">
        <f t="shared" ref="G25:G29" si="8">SUM(E25,F25)</f>
        <v>123.5</v>
      </c>
      <c r="H25" s="36">
        <f t="shared" ref="H25:H29" si="9">SUM(B25,C25,D25,G25)</f>
        <v>348.5</v>
      </c>
      <c r="I25" s="8"/>
      <c r="J25" s="8"/>
      <c r="K25" s="8"/>
      <c r="L25" s="8"/>
      <c r="M25" s="8"/>
      <c r="N25" s="8"/>
      <c r="O25" s="8"/>
      <c r="P25" s="36">
        <v>68</v>
      </c>
      <c r="Q25" s="8">
        <v>85</v>
      </c>
      <c r="R25" s="36">
        <v>72</v>
      </c>
      <c r="S25" s="36">
        <v>61</v>
      </c>
      <c r="T25" s="36">
        <v>36</v>
      </c>
      <c r="U25" s="36">
        <f t="shared" si="4"/>
        <v>97</v>
      </c>
      <c r="V25" s="36">
        <f t="shared" si="5"/>
        <v>322</v>
      </c>
    </row>
    <row r="26" ht="17.5" spans="1:22">
      <c r="A26" s="38" t="s">
        <v>149</v>
      </c>
      <c r="B26" s="8"/>
      <c r="C26" s="8"/>
      <c r="D26" s="8"/>
      <c r="E26" s="8"/>
      <c r="F26" s="8"/>
      <c r="G26" s="8"/>
      <c r="H26" s="8"/>
      <c r="I26" s="36">
        <v>48</v>
      </c>
      <c r="J26" s="36">
        <v>34</v>
      </c>
      <c r="K26" s="36">
        <v>46</v>
      </c>
      <c r="L26" s="36">
        <v>38</v>
      </c>
      <c r="M26" s="7">
        <v>32</v>
      </c>
      <c r="N26" s="36">
        <f t="shared" ref="N26:N32" si="10">SUM(L26,M26)</f>
        <v>70</v>
      </c>
      <c r="O26" s="36">
        <f t="shared" ref="O26:O32" si="11">SUM(I26,J26,K26,N26)</f>
        <v>198</v>
      </c>
      <c r="P26" s="36">
        <v>60</v>
      </c>
      <c r="Q26" s="36">
        <v>49</v>
      </c>
      <c r="R26" s="36">
        <v>52</v>
      </c>
      <c r="S26" s="36">
        <v>42</v>
      </c>
      <c r="T26" s="36">
        <v>30</v>
      </c>
      <c r="U26" s="36">
        <f t="shared" si="4"/>
        <v>72</v>
      </c>
      <c r="V26" s="36">
        <f t="shared" si="5"/>
        <v>233</v>
      </c>
    </row>
    <row r="27" ht="17.5" spans="1:22">
      <c r="A27" s="38" t="s">
        <v>150</v>
      </c>
      <c r="B27" s="36">
        <v>86</v>
      </c>
      <c r="C27" s="36">
        <v>78</v>
      </c>
      <c r="D27" s="36">
        <v>66</v>
      </c>
      <c r="E27" s="36">
        <v>83</v>
      </c>
      <c r="F27" s="36">
        <v>31.5</v>
      </c>
      <c r="G27" s="36">
        <f t="shared" si="8"/>
        <v>114.5</v>
      </c>
      <c r="H27" s="36">
        <f t="shared" si="9"/>
        <v>344.5</v>
      </c>
      <c r="I27" s="36">
        <v>64</v>
      </c>
      <c r="J27" s="36"/>
      <c r="K27" s="36">
        <v>66</v>
      </c>
      <c r="L27" s="36">
        <v>55</v>
      </c>
      <c r="M27" s="7">
        <v>29</v>
      </c>
      <c r="N27" s="36">
        <f t="shared" si="10"/>
        <v>84</v>
      </c>
      <c r="O27" s="36">
        <f t="shared" si="11"/>
        <v>214</v>
      </c>
      <c r="P27" s="36">
        <v>74</v>
      </c>
      <c r="Q27" s="36">
        <v>77</v>
      </c>
      <c r="R27" s="36">
        <v>92</v>
      </c>
      <c r="S27" s="36">
        <v>41</v>
      </c>
      <c r="T27" s="36">
        <v>30</v>
      </c>
      <c r="U27" s="36">
        <f t="shared" si="4"/>
        <v>71</v>
      </c>
      <c r="V27" s="36">
        <f t="shared" si="5"/>
        <v>314</v>
      </c>
    </row>
    <row r="28" ht="17.5" spans="1:22">
      <c r="A28" s="38" t="s">
        <v>151</v>
      </c>
      <c r="B28" s="36">
        <v>72</v>
      </c>
      <c r="C28" s="36">
        <v>97</v>
      </c>
      <c r="D28" s="36">
        <v>62</v>
      </c>
      <c r="E28" s="36">
        <v>96</v>
      </c>
      <c r="F28" s="36">
        <v>27</v>
      </c>
      <c r="G28" s="36">
        <f t="shared" si="8"/>
        <v>123</v>
      </c>
      <c r="H28" s="36">
        <f t="shared" si="9"/>
        <v>354</v>
      </c>
      <c r="I28" s="36">
        <v>70</v>
      </c>
      <c r="J28" s="36">
        <v>100</v>
      </c>
      <c r="K28" s="36">
        <v>72</v>
      </c>
      <c r="L28" s="36">
        <v>62</v>
      </c>
      <c r="M28" s="7">
        <v>29</v>
      </c>
      <c r="N28" s="36">
        <f t="shared" si="10"/>
        <v>91</v>
      </c>
      <c r="O28" s="36">
        <f t="shared" si="11"/>
        <v>333</v>
      </c>
      <c r="P28" s="36">
        <v>72</v>
      </c>
      <c r="Q28" s="36">
        <v>78</v>
      </c>
      <c r="R28" s="36">
        <v>86</v>
      </c>
      <c r="S28" s="36">
        <v>75</v>
      </c>
      <c r="T28" s="36">
        <v>36</v>
      </c>
      <c r="U28" s="36">
        <f t="shared" si="4"/>
        <v>111</v>
      </c>
      <c r="V28" s="36">
        <f t="shared" si="5"/>
        <v>347</v>
      </c>
    </row>
    <row r="29" ht="17.5" spans="1:22">
      <c r="A29" s="38" t="s">
        <v>152</v>
      </c>
      <c r="B29" s="36">
        <v>72</v>
      </c>
      <c r="C29" s="36">
        <v>86</v>
      </c>
      <c r="D29" s="36">
        <v>69</v>
      </c>
      <c r="E29" s="36">
        <v>84</v>
      </c>
      <c r="F29" s="36">
        <v>27</v>
      </c>
      <c r="G29" s="36">
        <f t="shared" si="8"/>
        <v>111</v>
      </c>
      <c r="H29" s="36">
        <f t="shared" si="9"/>
        <v>338</v>
      </c>
      <c r="I29" s="36">
        <v>66</v>
      </c>
      <c r="J29" s="36">
        <v>86</v>
      </c>
      <c r="K29" s="36">
        <v>76</v>
      </c>
      <c r="L29" s="36">
        <v>56</v>
      </c>
      <c r="M29" s="7">
        <v>30</v>
      </c>
      <c r="N29" s="36">
        <f t="shared" si="10"/>
        <v>86</v>
      </c>
      <c r="O29" s="36">
        <f t="shared" si="11"/>
        <v>314</v>
      </c>
      <c r="P29" s="8"/>
      <c r="Q29" s="8"/>
      <c r="R29" s="8"/>
      <c r="S29" s="8"/>
      <c r="T29" s="8"/>
      <c r="U29" s="8"/>
      <c r="V29" s="8"/>
    </row>
    <row r="30" ht="17.5" spans="1:22">
      <c r="A30" s="38" t="s">
        <v>153</v>
      </c>
      <c r="B30" s="8"/>
      <c r="C30" s="8"/>
      <c r="D30" s="8"/>
      <c r="E30" s="8"/>
      <c r="F30" s="8"/>
      <c r="G30" s="8"/>
      <c r="H30" s="8"/>
      <c r="I30" s="36">
        <v>76</v>
      </c>
      <c r="J30" s="36">
        <v>80</v>
      </c>
      <c r="K30" s="36">
        <v>60</v>
      </c>
      <c r="L30" s="36">
        <v>64</v>
      </c>
      <c r="M30" s="7">
        <v>35</v>
      </c>
      <c r="N30" s="36">
        <f t="shared" si="10"/>
        <v>99</v>
      </c>
      <c r="O30" s="36">
        <f t="shared" si="11"/>
        <v>315</v>
      </c>
      <c r="P30" s="36">
        <v>82</v>
      </c>
      <c r="Q30" s="36">
        <v>52</v>
      </c>
      <c r="R30" s="36">
        <v>74</v>
      </c>
      <c r="S30" s="36">
        <v>50</v>
      </c>
      <c r="T30" s="36">
        <v>28.5</v>
      </c>
      <c r="U30" s="36">
        <f t="shared" si="4"/>
        <v>78.5</v>
      </c>
      <c r="V30" s="36">
        <f t="shared" si="5"/>
        <v>286.5</v>
      </c>
    </row>
    <row r="31" ht="17.5" spans="1:22">
      <c r="A31" s="38" t="s">
        <v>154</v>
      </c>
      <c r="B31" s="36">
        <v>80</v>
      </c>
      <c r="C31" s="36">
        <v>96</v>
      </c>
      <c r="D31" s="36">
        <v>57</v>
      </c>
      <c r="E31" s="36">
        <v>88</v>
      </c>
      <c r="F31" s="36">
        <v>27</v>
      </c>
      <c r="G31" s="36">
        <f t="shared" ref="G31:G39" si="12">SUM(E31,F31)</f>
        <v>115</v>
      </c>
      <c r="H31" s="36">
        <f t="shared" ref="H31:H39" si="13">SUM(B31,C31,D31,G31)</f>
        <v>348</v>
      </c>
      <c r="I31" s="36">
        <v>76</v>
      </c>
      <c r="J31" s="36">
        <v>94</v>
      </c>
      <c r="K31" s="36">
        <v>60</v>
      </c>
      <c r="L31" s="36">
        <v>66</v>
      </c>
      <c r="M31" s="7">
        <v>33</v>
      </c>
      <c r="N31" s="36">
        <f t="shared" si="10"/>
        <v>99</v>
      </c>
      <c r="O31" s="36">
        <f t="shared" si="11"/>
        <v>329</v>
      </c>
      <c r="P31" s="36">
        <v>78</v>
      </c>
      <c r="Q31" s="36">
        <v>85</v>
      </c>
      <c r="R31" s="36">
        <v>82</v>
      </c>
      <c r="S31" s="36">
        <v>70</v>
      </c>
      <c r="T31" s="36">
        <v>34.5</v>
      </c>
      <c r="U31" s="36">
        <f t="shared" si="4"/>
        <v>104.5</v>
      </c>
      <c r="V31" s="36">
        <f t="shared" si="5"/>
        <v>349.5</v>
      </c>
    </row>
    <row r="32" ht="17.5" spans="1:22">
      <c r="A32" s="38" t="s">
        <v>155</v>
      </c>
      <c r="B32" s="36">
        <v>50</v>
      </c>
      <c r="C32" s="36">
        <v>35</v>
      </c>
      <c r="D32" s="36">
        <v>55</v>
      </c>
      <c r="E32" s="36">
        <v>62</v>
      </c>
      <c r="F32" s="36">
        <v>34.5</v>
      </c>
      <c r="G32" s="36">
        <f t="shared" si="12"/>
        <v>96.5</v>
      </c>
      <c r="H32" s="36">
        <f t="shared" si="13"/>
        <v>236.5</v>
      </c>
      <c r="I32" s="36">
        <v>52</v>
      </c>
      <c r="J32" s="36">
        <v>34</v>
      </c>
      <c r="K32" s="36">
        <v>62</v>
      </c>
      <c r="L32" s="36">
        <v>20</v>
      </c>
      <c r="M32" s="7">
        <v>30</v>
      </c>
      <c r="N32" s="36">
        <f t="shared" si="10"/>
        <v>50</v>
      </c>
      <c r="O32" s="36">
        <f t="shared" si="11"/>
        <v>198</v>
      </c>
      <c r="P32" s="8"/>
      <c r="Q32" s="8"/>
      <c r="R32" s="8"/>
      <c r="S32" s="8"/>
      <c r="T32" s="8"/>
      <c r="U32" s="8"/>
      <c r="V32" s="8"/>
    </row>
    <row r="33" ht="17.5" spans="1:22">
      <c r="A33" s="38" t="s">
        <v>156</v>
      </c>
      <c r="B33" s="36">
        <v>66</v>
      </c>
      <c r="C33" s="36">
        <v>38</v>
      </c>
      <c r="D33" s="36">
        <v>65</v>
      </c>
      <c r="E33" s="36">
        <v>50</v>
      </c>
      <c r="F33" s="36">
        <v>28.5</v>
      </c>
      <c r="G33" s="36">
        <f t="shared" si="12"/>
        <v>78.5</v>
      </c>
      <c r="H33" s="36">
        <f t="shared" si="13"/>
        <v>247.5</v>
      </c>
      <c r="I33" s="8"/>
      <c r="J33" s="8"/>
      <c r="K33" s="8"/>
      <c r="L33" s="8"/>
      <c r="M33" s="8"/>
      <c r="N33" s="8"/>
      <c r="O33" s="8"/>
      <c r="P33" s="36">
        <v>50</v>
      </c>
      <c r="Q33" s="8">
        <v>34</v>
      </c>
      <c r="R33" s="36">
        <v>56</v>
      </c>
      <c r="S33" s="36">
        <v>53</v>
      </c>
      <c r="T33" s="36">
        <v>34.5</v>
      </c>
      <c r="U33" s="36">
        <f t="shared" si="4"/>
        <v>87.5</v>
      </c>
      <c r="V33" s="36">
        <f t="shared" si="5"/>
        <v>227.5</v>
      </c>
    </row>
    <row r="34" ht="17.5" spans="1:22">
      <c r="A34" s="38" t="s">
        <v>157</v>
      </c>
      <c r="B34" s="36">
        <v>68</v>
      </c>
      <c r="C34" s="36">
        <v>50</v>
      </c>
      <c r="D34" s="36">
        <v>61</v>
      </c>
      <c r="E34" s="36">
        <v>56</v>
      </c>
      <c r="F34" s="36">
        <v>27</v>
      </c>
      <c r="G34" s="36">
        <f t="shared" si="12"/>
        <v>83</v>
      </c>
      <c r="H34" s="36">
        <f t="shared" si="13"/>
        <v>262</v>
      </c>
      <c r="I34" s="36">
        <v>54</v>
      </c>
      <c r="J34" s="36">
        <v>48</v>
      </c>
      <c r="K34" s="36">
        <v>64</v>
      </c>
      <c r="L34" s="36">
        <v>25</v>
      </c>
      <c r="M34" s="7">
        <v>27</v>
      </c>
      <c r="N34" s="36">
        <f t="shared" ref="N34:N45" si="14">SUM(L34,M34)</f>
        <v>52</v>
      </c>
      <c r="O34" s="36">
        <f t="shared" ref="O34:O45" si="15">SUM(I34,J34,K34,N34)</f>
        <v>218</v>
      </c>
      <c r="P34" s="36">
        <v>60</v>
      </c>
      <c r="Q34" s="36">
        <v>36</v>
      </c>
      <c r="R34" s="36">
        <v>64</v>
      </c>
      <c r="S34" s="36">
        <v>38</v>
      </c>
      <c r="T34" s="36">
        <v>30</v>
      </c>
      <c r="U34" s="36">
        <f t="shared" si="4"/>
        <v>68</v>
      </c>
      <c r="V34" s="36">
        <f t="shared" si="5"/>
        <v>228</v>
      </c>
    </row>
    <row r="35" ht="17.5" spans="1:22">
      <c r="A35" s="38" t="s">
        <v>158</v>
      </c>
      <c r="B35" s="36">
        <v>66</v>
      </c>
      <c r="C35" s="36">
        <v>87</v>
      </c>
      <c r="D35" s="36">
        <v>73</v>
      </c>
      <c r="E35" s="36">
        <v>83</v>
      </c>
      <c r="F35" s="36">
        <v>31.5</v>
      </c>
      <c r="G35" s="36">
        <f t="shared" si="12"/>
        <v>114.5</v>
      </c>
      <c r="H35" s="36">
        <f t="shared" si="13"/>
        <v>340.5</v>
      </c>
      <c r="I35" s="36">
        <v>58</v>
      </c>
      <c r="J35" s="36">
        <v>97</v>
      </c>
      <c r="K35" s="36">
        <v>72</v>
      </c>
      <c r="L35" s="36">
        <v>76</v>
      </c>
      <c r="M35" s="7">
        <v>32</v>
      </c>
      <c r="N35" s="36">
        <f t="shared" si="14"/>
        <v>108</v>
      </c>
      <c r="O35" s="36">
        <f t="shared" si="15"/>
        <v>335</v>
      </c>
      <c r="P35" s="8"/>
      <c r="Q35" s="8"/>
      <c r="R35" s="8"/>
      <c r="S35" s="8"/>
      <c r="T35" s="8"/>
      <c r="U35" s="8"/>
      <c r="V35" s="8"/>
    </row>
    <row r="36" ht="17.5" spans="1:22">
      <c r="A36" s="38" t="s">
        <v>159</v>
      </c>
      <c r="B36" s="36">
        <v>74</v>
      </c>
      <c r="C36" s="36">
        <v>51</v>
      </c>
      <c r="D36" s="36">
        <v>65</v>
      </c>
      <c r="E36" s="36">
        <v>54</v>
      </c>
      <c r="F36" s="36">
        <v>22.5</v>
      </c>
      <c r="G36" s="36">
        <f t="shared" si="12"/>
        <v>76.5</v>
      </c>
      <c r="H36" s="36">
        <f t="shared" si="13"/>
        <v>266.5</v>
      </c>
      <c r="I36" s="8"/>
      <c r="J36" s="8"/>
      <c r="K36" s="8"/>
      <c r="L36" s="8"/>
      <c r="M36" s="8"/>
      <c r="N36" s="8"/>
      <c r="O36" s="8"/>
      <c r="P36" s="36">
        <v>70</v>
      </c>
      <c r="Q36" s="8">
        <v>23</v>
      </c>
      <c r="R36" s="36">
        <v>56</v>
      </c>
      <c r="S36" s="36">
        <v>50</v>
      </c>
      <c r="T36" s="36">
        <v>30</v>
      </c>
      <c r="U36" s="36">
        <f t="shared" si="4"/>
        <v>80</v>
      </c>
      <c r="V36" s="36">
        <f t="shared" si="5"/>
        <v>229</v>
      </c>
    </row>
    <row r="37" ht="17.5" spans="1:22">
      <c r="A37" s="38" t="s">
        <v>160</v>
      </c>
      <c r="B37" s="36">
        <v>64</v>
      </c>
      <c r="C37" s="36">
        <v>67</v>
      </c>
      <c r="D37" s="36">
        <v>58</v>
      </c>
      <c r="E37" s="36">
        <v>66</v>
      </c>
      <c r="F37" s="36">
        <v>31.5</v>
      </c>
      <c r="G37" s="36">
        <f t="shared" si="12"/>
        <v>97.5</v>
      </c>
      <c r="H37" s="36">
        <f t="shared" si="13"/>
        <v>286.5</v>
      </c>
      <c r="I37" s="36">
        <v>68</v>
      </c>
      <c r="J37" s="36">
        <v>93</v>
      </c>
      <c r="K37" s="36">
        <v>52</v>
      </c>
      <c r="L37" s="36">
        <v>39</v>
      </c>
      <c r="M37" s="7">
        <v>29</v>
      </c>
      <c r="N37" s="36">
        <f t="shared" si="14"/>
        <v>68</v>
      </c>
      <c r="O37" s="36">
        <f t="shared" si="15"/>
        <v>281</v>
      </c>
      <c r="P37" s="36">
        <v>68</v>
      </c>
      <c r="Q37" s="36">
        <v>44</v>
      </c>
      <c r="R37" s="36">
        <v>60</v>
      </c>
      <c r="S37" s="36">
        <v>62</v>
      </c>
      <c r="T37" s="36">
        <v>33</v>
      </c>
      <c r="U37" s="36">
        <f t="shared" si="4"/>
        <v>95</v>
      </c>
      <c r="V37" s="36">
        <f t="shared" si="5"/>
        <v>267</v>
      </c>
    </row>
    <row r="38" ht="17.5" spans="1:22">
      <c r="A38" s="38" t="s">
        <v>161</v>
      </c>
      <c r="B38" s="36">
        <v>74</v>
      </c>
      <c r="C38" s="36">
        <v>67</v>
      </c>
      <c r="D38" s="36">
        <v>63</v>
      </c>
      <c r="E38" s="36">
        <v>76</v>
      </c>
      <c r="F38" s="36">
        <v>30</v>
      </c>
      <c r="G38" s="36">
        <f t="shared" si="12"/>
        <v>106</v>
      </c>
      <c r="H38" s="36">
        <f t="shared" si="13"/>
        <v>310</v>
      </c>
      <c r="I38" s="36">
        <v>62</v>
      </c>
      <c r="J38" s="36">
        <v>71</v>
      </c>
      <c r="K38" s="36">
        <v>68</v>
      </c>
      <c r="L38" s="36">
        <v>55</v>
      </c>
      <c r="M38" s="7">
        <v>32</v>
      </c>
      <c r="N38" s="36">
        <f t="shared" si="14"/>
        <v>87</v>
      </c>
      <c r="O38" s="36">
        <f t="shared" si="15"/>
        <v>288</v>
      </c>
      <c r="P38" s="36">
        <v>88</v>
      </c>
      <c r="Q38" s="36">
        <v>62</v>
      </c>
      <c r="R38" s="36">
        <v>72</v>
      </c>
      <c r="S38" s="36">
        <v>44</v>
      </c>
      <c r="T38" s="36">
        <v>31.5</v>
      </c>
      <c r="U38" s="36">
        <f t="shared" si="4"/>
        <v>75.5</v>
      </c>
      <c r="V38" s="36">
        <f t="shared" si="5"/>
        <v>297.5</v>
      </c>
    </row>
    <row r="39" ht="17.5" spans="1:22">
      <c r="A39" s="38" t="s">
        <v>162</v>
      </c>
      <c r="B39" s="36">
        <v>86</v>
      </c>
      <c r="C39" s="36">
        <v>69</v>
      </c>
      <c r="D39" s="36">
        <v>70</v>
      </c>
      <c r="E39" s="36">
        <v>87</v>
      </c>
      <c r="F39" s="36">
        <v>31.5</v>
      </c>
      <c r="G39" s="36">
        <f t="shared" si="12"/>
        <v>118.5</v>
      </c>
      <c r="H39" s="36">
        <f t="shared" si="13"/>
        <v>343.5</v>
      </c>
      <c r="I39" s="36">
        <v>76</v>
      </c>
      <c r="J39" s="36">
        <v>97</v>
      </c>
      <c r="K39" s="36">
        <v>78</v>
      </c>
      <c r="L39" s="36">
        <v>71</v>
      </c>
      <c r="M39" s="7">
        <v>29</v>
      </c>
      <c r="N39" s="36">
        <f t="shared" si="14"/>
        <v>100</v>
      </c>
      <c r="O39" s="36">
        <f t="shared" si="15"/>
        <v>351</v>
      </c>
      <c r="P39" s="36">
        <v>80</v>
      </c>
      <c r="Q39" s="36">
        <v>68</v>
      </c>
      <c r="R39" s="36">
        <v>82</v>
      </c>
      <c r="S39" s="36">
        <v>88</v>
      </c>
      <c r="T39" s="36">
        <v>36</v>
      </c>
      <c r="U39" s="36">
        <f t="shared" si="4"/>
        <v>124</v>
      </c>
      <c r="V39" s="36">
        <f t="shared" si="5"/>
        <v>354</v>
      </c>
    </row>
    <row r="40" ht="17.5" spans="1:22">
      <c r="A40" s="38" t="s">
        <v>163</v>
      </c>
      <c r="B40" s="8"/>
      <c r="C40" s="8"/>
      <c r="D40" s="8"/>
      <c r="E40" s="8"/>
      <c r="F40" s="8"/>
      <c r="G40" s="8"/>
      <c r="H40" s="8"/>
      <c r="I40" s="36">
        <v>56</v>
      </c>
      <c r="J40" s="36">
        <v>83</v>
      </c>
      <c r="K40" s="36">
        <v>62</v>
      </c>
      <c r="L40" s="36">
        <v>40</v>
      </c>
      <c r="M40" s="7">
        <v>35</v>
      </c>
      <c r="N40" s="36">
        <f t="shared" si="14"/>
        <v>75</v>
      </c>
      <c r="O40" s="36">
        <f t="shared" si="15"/>
        <v>276</v>
      </c>
      <c r="P40" s="36">
        <v>72</v>
      </c>
      <c r="Q40" s="36">
        <v>60</v>
      </c>
      <c r="R40" s="36">
        <v>58</v>
      </c>
      <c r="S40" s="36">
        <v>60</v>
      </c>
      <c r="T40" s="36">
        <v>34.5</v>
      </c>
      <c r="U40" s="36">
        <f t="shared" si="4"/>
        <v>94.5</v>
      </c>
      <c r="V40" s="36">
        <f t="shared" si="5"/>
        <v>284.5</v>
      </c>
    </row>
    <row r="41" ht="17.5" spans="1:22">
      <c r="A41" s="38" t="s">
        <v>164</v>
      </c>
      <c r="B41" s="36">
        <v>72</v>
      </c>
      <c r="C41" s="36">
        <v>96</v>
      </c>
      <c r="D41" s="36">
        <v>48</v>
      </c>
      <c r="E41" s="36">
        <v>82</v>
      </c>
      <c r="F41" s="36">
        <v>30</v>
      </c>
      <c r="G41" s="36">
        <f t="shared" ref="G41:G45" si="16">SUM(E41,F41)</f>
        <v>112</v>
      </c>
      <c r="H41" s="36">
        <f t="shared" ref="H41:H45" si="17">SUM(B41,C41,D41,G41)</f>
        <v>328</v>
      </c>
      <c r="I41" s="36">
        <v>52</v>
      </c>
      <c r="J41" s="36">
        <v>96</v>
      </c>
      <c r="K41" s="36">
        <v>64</v>
      </c>
      <c r="L41" s="36">
        <v>80</v>
      </c>
      <c r="M41" s="7">
        <v>32</v>
      </c>
      <c r="N41" s="36">
        <f t="shared" si="14"/>
        <v>112</v>
      </c>
      <c r="O41" s="36">
        <f t="shared" si="15"/>
        <v>324</v>
      </c>
      <c r="P41" s="36">
        <v>78</v>
      </c>
      <c r="Q41" s="36">
        <v>85</v>
      </c>
      <c r="R41" s="36">
        <v>82</v>
      </c>
      <c r="S41" s="36">
        <v>62</v>
      </c>
      <c r="T41" s="36">
        <v>36</v>
      </c>
      <c r="U41" s="36">
        <f t="shared" si="4"/>
        <v>98</v>
      </c>
      <c r="V41" s="36">
        <f t="shared" si="5"/>
        <v>343</v>
      </c>
    </row>
    <row r="42" ht="17.5" spans="1:22">
      <c r="A42" s="38" t="s">
        <v>165</v>
      </c>
      <c r="B42" s="36">
        <v>54</v>
      </c>
      <c r="C42" s="36">
        <v>36</v>
      </c>
      <c r="D42" s="36">
        <v>63</v>
      </c>
      <c r="E42" s="36">
        <v>84</v>
      </c>
      <c r="F42" s="36">
        <v>27</v>
      </c>
      <c r="G42" s="36">
        <f t="shared" si="16"/>
        <v>111</v>
      </c>
      <c r="H42" s="36">
        <f t="shared" si="17"/>
        <v>264</v>
      </c>
      <c r="I42" s="36">
        <v>58</v>
      </c>
      <c r="J42" s="36">
        <v>63</v>
      </c>
      <c r="K42" s="36">
        <v>70</v>
      </c>
      <c r="L42" s="36">
        <v>59</v>
      </c>
      <c r="M42" s="7">
        <v>30</v>
      </c>
      <c r="N42" s="36">
        <f t="shared" si="14"/>
        <v>89</v>
      </c>
      <c r="O42" s="36">
        <f t="shared" si="15"/>
        <v>280</v>
      </c>
      <c r="P42" s="8"/>
      <c r="Q42" s="8"/>
      <c r="R42" s="8"/>
      <c r="S42" s="8"/>
      <c r="T42" s="8"/>
      <c r="U42" s="8"/>
      <c r="V42" s="8"/>
    </row>
    <row r="43" ht="17.5" spans="1:22">
      <c r="A43" s="38" t="s">
        <v>166</v>
      </c>
      <c r="B43" s="8"/>
      <c r="C43" s="8"/>
      <c r="D43" s="8"/>
      <c r="E43" s="8"/>
      <c r="F43" s="8"/>
      <c r="G43" s="8"/>
      <c r="H43" s="8"/>
      <c r="I43" s="36">
        <v>64</v>
      </c>
      <c r="J43" s="36">
        <v>89</v>
      </c>
      <c r="K43" s="36">
        <v>40</v>
      </c>
      <c r="L43" s="36">
        <v>74</v>
      </c>
      <c r="M43" s="7">
        <v>35</v>
      </c>
      <c r="N43" s="36">
        <f t="shared" si="14"/>
        <v>109</v>
      </c>
      <c r="O43" s="36">
        <f t="shared" si="15"/>
        <v>302</v>
      </c>
      <c r="P43" s="36">
        <v>80</v>
      </c>
      <c r="Q43" s="36">
        <v>78</v>
      </c>
      <c r="R43" s="36">
        <v>78</v>
      </c>
      <c r="S43" s="36">
        <v>63</v>
      </c>
      <c r="T43" s="36">
        <v>34.5</v>
      </c>
      <c r="U43" s="36">
        <f t="shared" si="4"/>
        <v>97.5</v>
      </c>
      <c r="V43" s="36">
        <f t="shared" si="5"/>
        <v>333.5</v>
      </c>
    </row>
    <row r="44" ht="17.5" spans="1:22">
      <c r="A44" s="38" t="s">
        <v>167</v>
      </c>
      <c r="B44" s="36">
        <v>70</v>
      </c>
      <c r="C44" s="36">
        <v>79</v>
      </c>
      <c r="D44" s="36">
        <v>70</v>
      </c>
      <c r="E44" s="36">
        <v>88</v>
      </c>
      <c r="F44" s="36">
        <v>36</v>
      </c>
      <c r="G44" s="36">
        <f t="shared" si="16"/>
        <v>124</v>
      </c>
      <c r="H44" s="36">
        <f t="shared" si="17"/>
        <v>343</v>
      </c>
      <c r="I44" s="36">
        <v>80</v>
      </c>
      <c r="J44" s="36">
        <v>94</v>
      </c>
      <c r="K44" s="36">
        <v>84</v>
      </c>
      <c r="L44" s="36">
        <v>81</v>
      </c>
      <c r="M44" s="7">
        <v>41</v>
      </c>
      <c r="N44" s="36">
        <f t="shared" si="14"/>
        <v>122</v>
      </c>
      <c r="O44" s="36">
        <f t="shared" si="15"/>
        <v>380</v>
      </c>
      <c r="P44" s="8"/>
      <c r="Q44" s="8"/>
      <c r="R44" s="8"/>
      <c r="S44" s="8"/>
      <c r="T44" s="8"/>
      <c r="U44" s="8"/>
      <c r="V44" s="8"/>
    </row>
    <row r="45" ht="17.5" spans="1:22">
      <c r="A45" s="38" t="s">
        <v>168</v>
      </c>
      <c r="B45" s="36">
        <v>76</v>
      </c>
      <c r="C45" s="36">
        <v>91</v>
      </c>
      <c r="D45" s="36">
        <v>59</v>
      </c>
      <c r="E45" s="36">
        <v>84</v>
      </c>
      <c r="F45" s="36">
        <v>28.5</v>
      </c>
      <c r="G45" s="36">
        <f t="shared" si="16"/>
        <v>112.5</v>
      </c>
      <c r="H45" s="36">
        <f t="shared" si="17"/>
        <v>338.5</v>
      </c>
      <c r="I45" s="36">
        <v>70</v>
      </c>
      <c r="J45" s="36">
        <v>89</v>
      </c>
      <c r="K45" s="36">
        <v>72</v>
      </c>
      <c r="L45" s="36">
        <v>66</v>
      </c>
      <c r="M45" s="7">
        <v>36</v>
      </c>
      <c r="N45" s="36">
        <f t="shared" si="14"/>
        <v>102</v>
      </c>
      <c r="O45" s="36">
        <f t="shared" si="15"/>
        <v>333</v>
      </c>
      <c r="P45" s="36">
        <v>80</v>
      </c>
      <c r="Q45" s="36">
        <v>76</v>
      </c>
      <c r="R45" s="36">
        <v>62</v>
      </c>
      <c r="S45" s="36">
        <v>65</v>
      </c>
      <c r="T45" s="36">
        <v>37.5</v>
      </c>
      <c r="U45" s="36">
        <f t="shared" si="4"/>
        <v>102.5</v>
      </c>
      <c r="V45" s="36">
        <f t="shared" si="5"/>
        <v>320.5</v>
      </c>
    </row>
    <row r="46" ht="17.5" spans="1:22">
      <c r="A46" s="38" t="s">
        <v>169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</row>
    <row r="47" ht="17.5" spans="1:22">
      <c r="A47" s="38" t="s">
        <v>170</v>
      </c>
      <c r="B47" s="36">
        <v>64</v>
      </c>
      <c r="C47" s="36">
        <v>75</v>
      </c>
      <c r="D47" s="36">
        <v>64</v>
      </c>
      <c r="E47" s="36">
        <v>71</v>
      </c>
      <c r="F47" s="36">
        <v>25.5</v>
      </c>
      <c r="G47" s="36">
        <f t="shared" ref="G47:G50" si="18">SUM(E47,F47)</f>
        <v>96.5</v>
      </c>
      <c r="H47" s="36">
        <f t="shared" ref="H47:H50" si="19">SUM(B47,C47,D47,G47)</f>
        <v>299.5</v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</row>
    <row r="48" ht="17.5" spans="1:22">
      <c r="A48" s="39" t="s">
        <v>171</v>
      </c>
      <c r="B48" s="36">
        <v>60</v>
      </c>
      <c r="C48" s="36">
        <v>27</v>
      </c>
      <c r="D48" s="36">
        <v>50</v>
      </c>
      <c r="E48" s="36">
        <v>57</v>
      </c>
      <c r="F48" s="36">
        <v>33</v>
      </c>
      <c r="G48" s="36">
        <f t="shared" si="18"/>
        <v>90</v>
      </c>
      <c r="H48" s="36">
        <f t="shared" si="19"/>
        <v>227</v>
      </c>
      <c r="I48" s="36">
        <v>66</v>
      </c>
      <c r="J48" s="36">
        <v>73</v>
      </c>
      <c r="K48" s="36">
        <v>60</v>
      </c>
      <c r="L48" s="36">
        <v>43</v>
      </c>
      <c r="M48" s="7">
        <v>29</v>
      </c>
      <c r="N48" s="36">
        <f t="shared" ref="N48:N50" si="20">SUM(L48,M48)</f>
        <v>72</v>
      </c>
      <c r="O48" s="36">
        <f t="shared" ref="O48:O50" si="21">SUM(I48,J48,K48,N48)</f>
        <v>271</v>
      </c>
      <c r="P48" s="36">
        <v>78</v>
      </c>
      <c r="Q48" s="36">
        <v>31</v>
      </c>
      <c r="R48" s="36">
        <v>68</v>
      </c>
      <c r="S48" s="36">
        <v>46</v>
      </c>
      <c r="T48" s="36">
        <v>39</v>
      </c>
      <c r="U48" s="36">
        <f>SUM(S48,T48)</f>
        <v>85</v>
      </c>
      <c r="V48" s="36">
        <f>SUM(P48,Q48,R48,U48)</f>
        <v>262</v>
      </c>
    </row>
    <row r="49" ht="17.5" spans="1:22">
      <c r="A49" s="39" t="s">
        <v>172</v>
      </c>
      <c r="B49" s="36">
        <v>48</v>
      </c>
      <c r="C49" s="36">
        <v>42</v>
      </c>
      <c r="D49" s="36">
        <v>44</v>
      </c>
      <c r="E49" s="36">
        <v>66</v>
      </c>
      <c r="F49" s="36">
        <v>24</v>
      </c>
      <c r="G49" s="36">
        <f t="shared" si="18"/>
        <v>90</v>
      </c>
      <c r="H49" s="36">
        <f t="shared" si="19"/>
        <v>224</v>
      </c>
      <c r="I49" s="36">
        <v>56</v>
      </c>
      <c r="J49" s="36">
        <v>45</v>
      </c>
      <c r="K49" s="36">
        <v>44</v>
      </c>
      <c r="L49" s="36">
        <v>44</v>
      </c>
      <c r="M49" s="7">
        <v>29</v>
      </c>
      <c r="N49" s="36">
        <f t="shared" si="20"/>
        <v>73</v>
      </c>
      <c r="O49" s="36">
        <f t="shared" si="21"/>
        <v>218</v>
      </c>
      <c r="P49" s="36">
        <v>62</v>
      </c>
      <c r="Q49" s="36">
        <v>36</v>
      </c>
      <c r="R49" s="36">
        <v>48</v>
      </c>
      <c r="S49" s="36">
        <v>38</v>
      </c>
      <c r="T49" s="36">
        <v>27</v>
      </c>
      <c r="U49" s="36">
        <f>SUM(S49,T49)</f>
        <v>65</v>
      </c>
      <c r="V49" s="36">
        <f>SUM(P49,Q49,R49,U49)</f>
        <v>211</v>
      </c>
    </row>
    <row r="50" ht="17.5" spans="1:22">
      <c r="A50" s="39" t="s">
        <v>173</v>
      </c>
      <c r="B50" s="36">
        <v>60</v>
      </c>
      <c r="C50" s="36">
        <v>65</v>
      </c>
      <c r="D50" s="36">
        <v>55</v>
      </c>
      <c r="E50" s="36">
        <v>70</v>
      </c>
      <c r="F50" s="36">
        <v>33</v>
      </c>
      <c r="G50" s="36">
        <f t="shared" si="18"/>
        <v>103</v>
      </c>
      <c r="H50" s="36">
        <f t="shared" si="19"/>
        <v>283</v>
      </c>
      <c r="I50" s="36">
        <v>66</v>
      </c>
      <c r="J50" s="36">
        <v>62</v>
      </c>
      <c r="K50" s="36">
        <v>64</v>
      </c>
      <c r="L50" s="36">
        <v>58</v>
      </c>
      <c r="M50" s="7">
        <v>36</v>
      </c>
      <c r="N50" s="36">
        <f t="shared" si="20"/>
        <v>94</v>
      </c>
      <c r="O50" s="36">
        <f t="shared" si="21"/>
        <v>286</v>
      </c>
      <c r="P50" s="36">
        <v>66</v>
      </c>
      <c r="Q50" s="36">
        <v>60</v>
      </c>
      <c r="R50" s="36">
        <v>66</v>
      </c>
      <c r="S50" s="36">
        <v>52</v>
      </c>
      <c r="T50" s="36">
        <v>31.5</v>
      </c>
      <c r="U50" s="36">
        <f>SUM(S50,T50)</f>
        <v>83.5</v>
      </c>
      <c r="V50" s="36">
        <f>SUM(P50,Q50,R50,U50)</f>
        <v>275.5</v>
      </c>
    </row>
  </sheetData>
  <sheetProtection formatCells="0" formatColumns="0" formatRows="0" insertRows="0" insertColumns="0" insertHyperlinks="0" deleteColumns="0" deleteRows="0" sort="0" autoFilter="0" pivotTables="0"/>
  <mergeCells count="3">
    <mergeCell ref="B1:H1"/>
    <mergeCell ref="I1:O1"/>
    <mergeCell ref="P1:V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"/>
  <sheetViews>
    <sheetView workbookViewId="0">
      <pane xSplit="1" topLeftCell="B1" activePane="topRight" state="frozen"/>
      <selection/>
      <selection pane="topRight" activeCell="S9" sqref="S9"/>
    </sheetView>
  </sheetViews>
  <sheetFormatPr defaultColWidth="9.62727272727273" defaultRowHeight="14"/>
  <cols>
    <col min="1" max="1" width="8.87272727272727" customWidth="1"/>
    <col min="2" max="6" width="5.25454545454545" customWidth="1"/>
    <col min="7" max="7" width="9" customWidth="1"/>
    <col min="8" max="14" width="5.25454545454545" customWidth="1"/>
    <col min="15" max="15" width="9" customWidth="1"/>
    <col min="16" max="22" width="5.25454545454545" customWidth="1"/>
    <col min="23" max="23" width="9" customWidth="1"/>
    <col min="24" max="25" width="5.25454545454545" customWidth="1"/>
  </cols>
  <sheetData>
    <row r="1" ht="17.5" spans="1:25">
      <c r="A1" s="19"/>
      <c r="B1" s="2" t="s">
        <v>0</v>
      </c>
      <c r="C1" s="2"/>
      <c r="D1" s="2"/>
      <c r="E1" s="2"/>
      <c r="F1" s="2"/>
      <c r="G1" s="2"/>
      <c r="H1" s="2"/>
      <c r="I1" s="2"/>
      <c r="J1" s="2" t="s">
        <v>1</v>
      </c>
      <c r="K1" s="2"/>
      <c r="L1" s="2"/>
      <c r="M1" s="2"/>
      <c r="N1" s="2"/>
      <c r="O1" s="2"/>
      <c r="P1" s="2"/>
      <c r="Q1" s="2"/>
      <c r="R1" s="2" t="s">
        <v>2</v>
      </c>
      <c r="S1" s="2"/>
      <c r="T1" s="2"/>
      <c r="U1" s="2"/>
      <c r="V1" s="2"/>
      <c r="W1" s="2"/>
      <c r="X1" s="2"/>
      <c r="Y1" s="2"/>
    </row>
    <row r="2" ht="17.5" spans="1:25">
      <c r="A2" s="20" t="s">
        <v>3</v>
      </c>
      <c r="B2" s="21" t="s">
        <v>4</v>
      </c>
      <c r="C2" s="21" t="s">
        <v>5</v>
      </c>
      <c r="D2" s="22" t="s">
        <v>174</v>
      </c>
      <c r="E2" s="21" t="s">
        <v>175</v>
      </c>
      <c r="F2" s="21" t="s">
        <v>38</v>
      </c>
      <c r="G2" s="21" t="s">
        <v>6</v>
      </c>
      <c r="H2" s="21" t="s">
        <v>9</v>
      </c>
      <c r="I2" s="21" t="s">
        <v>10</v>
      </c>
      <c r="J2" s="21" t="s">
        <v>4</v>
      </c>
      <c r="K2" s="21" t="s">
        <v>5</v>
      </c>
      <c r="L2" s="22" t="s">
        <v>174</v>
      </c>
      <c r="M2" s="21" t="s">
        <v>175</v>
      </c>
      <c r="N2" s="21" t="s">
        <v>38</v>
      </c>
      <c r="O2" s="21" t="s">
        <v>6</v>
      </c>
      <c r="P2" s="21" t="s">
        <v>9</v>
      </c>
      <c r="Q2" s="21" t="s">
        <v>10</v>
      </c>
      <c r="R2" s="21" t="s">
        <v>4</v>
      </c>
      <c r="S2" s="21" t="s">
        <v>5</v>
      </c>
      <c r="T2" s="22" t="s">
        <v>174</v>
      </c>
      <c r="U2" s="21" t="s">
        <v>175</v>
      </c>
      <c r="V2" s="21" t="s">
        <v>38</v>
      </c>
      <c r="W2" s="21" t="s">
        <v>6</v>
      </c>
      <c r="X2" s="21" t="s">
        <v>9</v>
      </c>
      <c r="Y2" s="21" t="s">
        <v>10</v>
      </c>
    </row>
    <row r="3" ht="17.5" spans="1:25">
      <c r="A3" s="23" t="s">
        <v>176</v>
      </c>
      <c r="B3" s="11"/>
      <c r="C3" s="11"/>
      <c r="D3" s="11"/>
      <c r="E3" s="11"/>
      <c r="F3" s="11"/>
      <c r="G3" s="11"/>
      <c r="H3" s="11"/>
      <c r="I3" s="10"/>
      <c r="J3" s="11"/>
      <c r="K3" s="11"/>
      <c r="L3" s="11"/>
      <c r="M3" s="11"/>
      <c r="N3" s="11"/>
      <c r="O3" s="11"/>
      <c r="P3" s="11"/>
      <c r="Q3" s="10"/>
      <c r="R3" s="11">
        <v>68</v>
      </c>
      <c r="S3" s="11">
        <v>49</v>
      </c>
      <c r="T3" s="11">
        <v>52</v>
      </c>
      <c r="U3" s="11">
        <v>39</v>
      </c>
      <c r="V3" s="11">
        <v>23</v>
      </c>
      <c r="W3" s="11">
        <v>10</v>
      </c>
      <c r="X3" s="11">
        <f>U3+V3+W3</f>
        <v>72</v>
      </c>
      <c r="Y3" s="11">
        <f>R3+S3+T3+X3</f>
        <v>241</v>
      </c>
    </row>
    <row r="4" ht="17.5" spans="1:25">
      <c r="A4" s="23" t="s">
        <v>177</v>
      </c>
      <c r="B4" s="11">
        <v>84</v>
      </c>
      <c r="C4" s="11">
        <v>95</v>
      </c>
      <c r="D4" s="11">
        <v>77</v>
      </c>
      <c r="E4" s="11">
        <v>52</v>
      </c>
      <c r="F4" s="11">
        <v>48</v>
      </c>
      <c r="G4" s="11">
        <v>20</v>
      </c>
      <c r="H4" s="11">
        <f t="shared" ref="H4:H13" si="0">E4+F4+G4</f>
        <v>120</v>
      </c>
      <c r="I4" s="11">
        <f t="shared" ref="I4:I13" si="1">B4+C4+D4+H4</f>
        <v>376</v>
      </c>
      <c r="J4" s="11">
        <v>80</v>
      </c>
      <c r="K4" s="11">
        <v>90</v>
      </c>
      <c r="L4" s="11">
        <v>78</v>
      </c>
      <c r="M4" s="11">
        <v>56</v>
      </c>
      <c r="N4" s="11">
        <v>23</v>
      </c>
      <c r="O4" s="11">
        <v>14</v>
      </c>
      <c r="P4" s="11">
        <f>M4+N4+O4</f>
        <v>93</v>
      </c>
      <c r="Q4" s="11">
        <f>J4+K4+L4+P4</f>
        <v>341</v>
      </c>
      <c r="R4" s="11">
        <v>76</v>
      </c>
      <c r="S4" s="11">
        <v>87</v>
      </c>
      <c r="T4" s="11">
        <v>78</v>
      </c>
      <c r="U4" s="11">
        <v>50</v>
      </c>
      <c r="V4" s="11">
        <v>26</v>
      </c>
      <c r="W4" s="11">
        <v>24</v>
      </c>
      <c r="X4" s="11">
        <f t="shared" ref="X4:X15" si="2">U4+V4+W4</f>
        <v>100</v>
      </c>
      <c r="Y4" s="11">
        <f t="shared" ref="Y4:Y15" si="3">R4+S4+T4+X4</f>
        <v>341</v>
      </c>
    </row>
    <row r="5" ht="17.5" spans="1:25">
      <c r="A5" s="23" t="s">
        <v>178</v>
      </c>
      <c r="B5" s="11">
        <v>76</v>
      </c>
      <c r="C5" s="11">
        <v>74</v>
      </c>
      <c r="D5" s="11">
        <v>61</v>
      </c>
      <c r="E5" s="11">
        <v>54</v>
      </c>
      <c r="F5" s="11">
        <v>36</v>
      </c>
      <c r="G5" s="11">
        <v>26</v>
      </c>
      <c r="H5" s="11">
        <f t="shared" si="0"/>
        <v>116</v>
      </c>
      <c r="I5" s="11">
        <f t="shared" si="1"/>
        <v>327</v>
      </c>
      <c r="J5" s="11">
        <v>64</v>
      </c>
      <c r="K5" s="11">
        <v>71</v>
      </c>
      <c r="L5" s="11">
        <v>86</v>
      </c>
      <c r="M5" s="11">
        <v>42</v>
      </c>
      <c r="N5" s="11">
        <v>19</v>
      </c>
      <c r="O5" s="11">
        <v>14</v>
      </c>
      <c r="P5" s="11">
        <f t="shared" ref="P5:P15" si="4">M5+N5+O5</f>
        <v>75</v>
      </c>
      <c r="Q5" s="11">
        <f t="shared" ref="Q5:Q15" si="5">J5+K5+L5+P5</f>
        <v>296</v>
      </c>
      <c r="R5" s="11">
        <v>68</v>
      </c>
      <c r="S5" s="11">
        <v>63</v>
      </c>
      <c r="T5" s="11">
        <v>73</v>
      </c>
      <c r="U5" s="11">
        <v>47</v>
      </c>
      <c r="V5" s="11">
        <v>26</v>
      </c>
      <c r="W5" s="11">
        <v>24</v>
      </c>
      <c r="X5" s="11">
        <f t="shared" si="2"/>
        <v>97</v>
      </c>
      <c r="Y5" s="11">
        <f t="shared" si="3"/>
        <v>301</v>
      </c>
    </row>
    <row r="6" ht="17.5" spans="1:25">
      <c r="A6" s="23" t="s">
        <v>179</v>
      </c>
      <c r="B6" s="11">
        <v>86</v>
      </c>
      <c r="C6" s="11">
        <v>79</v>
      </c>
      <c r="D6" s="11">
        <v>83</v>
      </c>
      <c r="E6" s="11">
        <v>60</v>
      </c>
      <c r="F6" s="11">
        <v>36</v>
      </c>
      <c r="G6" s="11">
        <v>30</v>
      </c>
      <c r="H6" s="11">
        <f t="shared" si="0"/>
        <v>126</v>
      </c>
      <c r="I6" s="11">
        <f t="shared" si="1"/>
        <v>374</v>
      </c>
      <c r="J6" s="11">
        <v>70</v>
      </c>
      <c r="K6" s="11">
        <v>80</v>
      </c>
      <c r="L6" s="11">
        <v>80</v>
      </c>
      <c r="M6" s="11">
        <v>48</v>
      </c>
      <c r="N6" s="11">
        <v>17</v>
      </c>
      <c r="O6" s="11">
        <v>18</v>
      </c>
      <c r="P6" s="11">
        <f t="shared" si="4"/>
        <v>83</v>
      </c>
      <c r="Q6" s="11">
        <f t="shared" si="5"/>
        <v>313</v>
      </c>
      <c r="R6" s="11">
        <v>82</v>
      </c>
      <c r="S6" s="11">
        <v>74</v>
      </c>
      <c r="T6" s="11">
        <v>73</v>
      </c>
      <c r="U6" s="11">
        <v>44</v>
      </c>
      <c r="V6" s="11">
        <v>27</v>
      </c>
      <c r="W6" s="11">
        <v>30</v>
      </c>
      <c r="X6" s="11">
        <f t="shared" si="2"/>
        <v>101</v>
      </c>
      <c r="Y6" s="11">
        <f t="shared" si="3"/>
        <v>330</v>
      </c>
    </row>
    <row r="7" ht="17.5" spans="1:25">
      <c r="A7" s="23" t="s">
        <v>180</v>
      </c>
      <c r="B7" s="11">
        <v>66</v>
      </c>
      <c r="C7" s="11">
        <v>70</v>
      </c>
      <c r="D7" s="11">
        <v>85</v>
      </c>
      <c r="E7" s="11">
        <v>50</v>
      </c>
      <c r="F7" s="11">
        <v>30</v>
      </c>
      <c r="G7" s="11">
        <v>18</v>
      </c>
      <c r="H7" s="11">
        <f t="shared" si="0"/>
        <v>98</v>
      </c>
      <c r="I7" s="11">
        <f t="shared" si="1"/>
        <v>319</v>
      </c>
      <c r="J7" s="11">
        <v>62</v>
      </c>
      <c r="K7" s="11">
        <v>73</v>
      </c>
      <c r="L7" s="11">
        <v>84</v>
      </c>
      <c r="M7" s="11">
        <v>48</v>
      </c>
      <c r="N7" s="11">
        <v>20</v>
      </c>
      <c r="O7" s="11">
        <v>18</v>
      </c>
      <c r="P7" s="11">
        <f t="shared" si="4"/>
        <v>86</v>
      </c>
      <c r="Q7" s="11">
        <f t="shared" si="5"/>
        <v>305</v>
      </c>
      <c r="R7" s="11"/>
      <c r="S7" s="11"/>
      <c r="T7" s="11"/>
      <c r="U7" s="11"/>
      <c r="V7" s="11"/>
      <c r="W7" s="11"/>
      <c r="X7" s="11"/>
      <c r="Y7" s="10"/>
    </row>
    <row r="8" ht="17.5" spans="1:25">
      <c r="A8" s="23" t="s">
        <v>181</v>
      </c>
      <c r="B8" s="11">
        <v>94</v>
      </c>
      <c r="C8" s="11">
        <v>84</v>
      </c>
      <c r="D8" s="11">
        <v>62</v>
      </c>
      <c r="E8" s="11">
        <v>50</v>
      </c>
      <c r="F8" s="11">
        <v>38</v>
      </c>
      <c r="G8" s="11">
        <v>18</v>
      </c>
      <c r="H8" s="11">
        <f t="shared" si="0"/>
        <v>106</v>
      </c>
      <c r="I8" s="11">
        <f t="shared" si="1"/>
        <v>346</v>
      </c>
      <c r="J8" s="11">
        <v>80</v>
      </c>
      <c r="K8" s="11">
        <v>82</v>
      </c>
      <c r="L8" s="11">
        <v>66</v>
      </c>
      <c r="M8" s="11">
        <v>48</v>
      </c>
      <c r="N8" s="11">
        <v>20</v>
      </c>
      <c r="O8" s="11">
        <v>24</v>
      </c>
      <c r="P8" s="11">
        <f t="shared" si="4"/>
        <v>92</v>
      </c>
      <c r="Q8" s="11">
        <f t="shared" si="5"/>
        <v>320</v>
      </c>
      <c r="R8" s="11">
        <v>96</v>
      </c>
      <c r="S8" s="11">
        <v>79</v>
      </c>
      <c r="T8" s="11">
        <v>63</v>
      </c>
      <c r="U8" s="11">
        <v>50</v>
      </c>
      <c r="V8" s="11">
        <v>26</v>
      </c>
      <c r="W8" s="11">
        <v>16</v>
      </c>
      <c r="X8" s="11">
        <f t="shared" si="2"/>
        <v>92</v>
      </c>
      <c r="Y8" s="11">
        <f t="shared" si="3"/>
        <v>330</v>
      </c>
    </row>
    <row r="9" ht="17.5" spans="1:25">
      <c r="A9" s="23" t="s">
        <v>182</v>
      </c>
      <c r="B9" s="11">
        <v>52</v>
      </c>
      <c r="C9" s="11">
        <v>66</v>
      </c>
      <c r="D9" s="11">
        <v>40</v>
      </c>
      <c r="E9" s="11">
        <v>30</v>
      </c>
      <c r="F9" s="11">
        <v>30</v>
      </c>
      <c r="G9" s="11">
        <v>22</v>
      </c>
      <c r="H9" s="11">
        <f t="shared" si="0"/>
        <v>82</v>
      </c>
      <c r="I9" s="11">
        <f t="shared" si="1"/>
        <v>240</v>
      </c>
      <c r="J9" s="11"/>
      <c r="K9" s="11"/>
      <c r="L9" s="11"/>
      <c r="M9" s="11"/>
      <c r="N9" s="11"/>
      <c r="O9" s="11"/>
      <c r="P9" s="11"/>
      <c r="Q9" s="10"/>
      <c r="R9" s="11">
        <v>44</v>
      </c>
      <c r="S9" s="11">
        <v>40</v>
      </c>
      <c r="T9" s="11">
        <v>26</v>
      </c>
      <c r="U9" s="11">
        <v>37</v>
      </c>
      <c r="V9" s="11">
        <v>23</v>
      </c>
      <c r="W9" s="11">
        <v>24</v>
      </c>
      <c r="X9" s="11">
        <f t="shared" si="2"/>
        <v>84</v>
      </c>
      <c r="Y9" s="11">
        <f t="shared" si="3"/>
        <v>194</v>
      </c>
    </row>
    <row r="10" ht="17.5" spans="1:25">
      <c r="A10" s="24" t="s">
        <v>183</v>
      </c>
      <c r="B10" s="11">
        <v>72</v>
      </c>
      <c r="C10" s="11">
        <v>66</v>
      </c>
      <c r="D10" s="11">
        <v>69</v>
      </c>
      <c r="E10" s="11">
        <v>28</v>
      </c>
      <c r="F10" s="11">
        <v>40</v>
      </c>
      <c r="G10" s="11">
        <v>12</v>
      </c>
      <c r="H10" s="11">
        <f t="shared" si="0"/>
        <v>80</v>
      </c>
      <c r="I10" s="11">
        <f t="shared" si="1"/>
        <v>287</v>
      </c>
      <c r="J10" s="11"/>
      <c r="K10" s="11"/>
      <c r="L10" s="11"/>
      <c r="M10" s="11"/>
      <c r="N10" s="11"/>
      <c r="O10" s="11"/>
      <c r="P10" s="11"/>
      <c r="Q10" s="10"/>
      <c r="R10" s="11">
        <v>72</v>
      </c>
      <c r="S10" s="11">
        <v>60</v>
      </c>
      <c r="T10" s="10">
        <v>67</v>
      </c>
      <c r="U10" s="11">
        <v>38</v>
      </c>
      <c r="V10" s="11">
        <v>21</v>
      </c>
      <c r="W10" s="11">
        <v>16</v>
      </c>
      <c r="X10" s="11">
        <f t="shared" si="2"/>
        <v>75</v>
      </c>
      <c r="Y10" s="11">
        <f t="shared" si="3"/>
        <v>274</v>
      </c>
    </row>
    <row r="11" ht="17.5" spans="1:25">
      <c r="A11" s="8" t="s">
        <v>184</v>
      </c>
      <c r="B11" s="11">
        <v>78</v>
      </c>
      <c r="C11" s="11">
        <v>78</v>
      </c>
      <c r="D11" s="11">
        <v>82</v>
      </c>
      <c r="E11" s="11">
        <v>42</v>
      </c>
      <c r="F11" s="11">
        <v>46</v>
      </c>
      <c r="G11" s="11">
        <v>30</v>
      </c>
      <c r="H11" s="11">
        <f t="shared" si="0"/>
        <v>118</v>
      </c>
      <c r="I11" s="11">
        <f t="shared" si="1"/>
        <v>356</v>
      </c>
      <c r="J11" s="11"/>
      <c r="K11" s="11"/>
      <c r="L11" s="11"/>
      <c r="M11" s="11"/>
      <c r="N11" s="11"/>
      <c r="O11" s="11"/>
      <c r="P11" s="11"/>
      <c r="Q11" s="10"/>
      <c r="R11" s="11">
        <v>78</v>
      </c>
      <c r="S11" s="11">
        <v>87</v>
      </c>
      <c r="T11" s="11">
        <v>73</v>
      </c>
      <c r="U11" s="11">
        <v>50</v>
      </c>
      <c r="V11" s="11">
        <v>28</v>
      </c>
      <c r="W11" s="11">
        <v>16</v>
      </c>
      <c r="X11" s="11">
        <f t="shared" si="2"/>
        <v>94</v>
      </c>
      <c r="Y11" s="11">
        <f t="shared" si="3"/>
        <v>332</v>
      </c>
    </row>
    <row r="12" ht="17.5" spans="1:25">
      <c r="A12" s="8" t="s">
        <v>185</v>
      </c>
      <c r="B12" s="11">
        <v>90</v>
      </c>
      <c r="C12" s="11">
        <v>76</v>
      </c>
      <c r="D12" s="11">
        <v>74</v>
      </c>
      <c r="E12" s="11">
        <v>60</v>
      </c>
      <c r="F12" s="11">
        <v>48</v>
      </c>
      <c r="G12" s="11">
        <v>16</v>
      </c>
      <c r="H12" s="11">
        <f t="shared" si="0"/>
        <v>124</v>
      </c>
      <c r="I12" s="11">
        <f t="shared" si="1"/>
        <v>364</v>
      </c>
      <c r="J12" s="11">
        <v>82</v>
      </c>
      <c r="K12" s="11">
        <v>86</v>
      </c>
      <c r="L12" s="11">
        <v>78</v>
      </c>
      <c r="M12" s="11">
        <v>40</v>
      </c>
      <c r="N12" s="11">
        <v>23</v>
      </c>
      <c r="O12" s="11">
        <v>18</v>
      </c>
      <c r="P12" s="11">
        <f t="shared" si="4"/>
        <v>81</v>
      </c>
      <c r="Q12" s="11">
        <f t="shared" si="5"/>
        <v>327</v>
      </c>
      <c r="R12" s="11">
        <v>84</v>
      </c>
      <c r="S12" s="11">
        <v>60</v>
      </c>
      <c r="T12" s="11">
        <v>73</v>
      </c>
      <c r="U12" s="11">
        <v>46</v>
      </c>
      <c r="V12" s="11">
        <v>24</v>
      </c>
      <c r="W12" s="11">
        <v>30</v>
      </c>
      <c r="X12" s="11">
        <f t="shared" si="2"/>
        <v>100</v>
      </c>
      <c r="Y12" s="11">
        <f t="shared" si="3"/>
        <v>317</v>
      </c>
    </row>
    <row r="13" ht="17.5" spans="1:25">
      <c r="A13" s="25" t="s">
        <v>186</v>
      </c>
      <c r="B13" s="11">
        <v>74</v>
      </c>
      <c r="C13" s="11">
        <v>88</v>
      </c>
      <c r="D13" s="11">
        <v>80</v>
      </c>
      <c r="E13" s="11">
        <v>24</v>
      </c>
      <c r="F13" s="11">
        <v>44</v>
      </c>
      <c r="G13" s="11">
        <v>20</v>
      </c>
      <c r="H13" s="11">
        <f t="shared" si="0"/>
        <v>88</v>
      </c>
      <c r="I13" s="11">
        <f t="shared" si="1"/>
        <v>330</v>
      </c>
      <c r="J13" s="11">
        <v>68</v>
      </c>
      <c r="K13" s="11">
        <v>83</v>
      </c>
      <c r="L13" s="11">
        <v>75</v>
      </c>
      <c r="M13" s="11">
        <v>38</v>
      </c>
      <c r="N13" s="11">
        <v>19</v>
      </c>
      <c r="O13" s="11">
        <v>12</v>
      </c>
      <c r="P13" s="11">
        <f t="shared" si="4"/>
        <v>69</v>
      </c>
      <c r="Q13" s="11">
        <f t="shared" si="5"/>
        <v>295</v>
      </c>
      <c r="R13" s="11">
        <v>80</v>
      </c>
      <c r="S13" s="11">
        <v>77</v>
      </c>
      <c r="T13" s="11">
        <v>86</v>
      </c>
      <c r="U13" s="11">
        <v>47</v>
      </c>
      <c r="V13" s="11">
        <v>28</v>
      </c>
      <c r="W13" s="11">
        <v>18</v>
      </c>
      <c r="X13" s="11">
        <f t="shared" si="2"/>
        <v>93</v>
      </c>
      <c r="Y13" s="11">
        <f t="shared" si="3"/>
        <v>336</v>
      </c>
    </row>
    <row r="14" ht="17.5" spans="1:25">
      <c r="A14" s="23" t="s">
        <v>187</v>
      </c>
      <c r="B14" s="11"/>
      <c r="C14" s="11"/>
      <c r="D14" s="11"/>
      <c r="E14" s="11"/>
      <c r="F14" s="11"/>
      <c r="G14" s="11"/>
      <c r="H14" s="11"/>
      <c r="I14" s="11"/>
      <c r="J14" s="11">
        <v>72</v>
      </c>
      <c r="K14" s="11">
        <v>50</v>
      </c>
      <c r="L14" s="11">
        <v>88</v>
      </c>
      <c r="M14" s="11">
        <v>50</v>
      </c>
      <c r="N14" s="11">
        <v>19</v>
      </c>
      <c r="O14" s="11">
        <v>20</v>
      </c>
      <c r="P14" s="11">
        <f t="shared" si="4"/>
        <v>89</v>
      </c>
      <c r="Q14" s="11">
        <f t="shared" si="5"/>
        <v>299</v>
      </c>
      <c r="R14" s="11">
        <v>80</v>
      </c>
      <c r="S14" s="11">
        <v>57</v>
      </c>
      <c r="T14" s="11">
        <v>88</v>
      </c>
      <c r="U14" s="11">
        <v>45</v>
      </c>
      <c r="V14" s="11">
        <v>26</v>
      </c>
      <c r="W14" s="11">
        <v>24</v>
      </c>
      <c r="X14" s="11">
        <f t="shared" si="2"/>
        <v>95</v>
      </c>
      <c r="Y14" s="11">
        <f t="shared" si="3"/>
        <v>320</v>
      </c>
    </row>
    <row r="15" ht="17.5" spans="1:25">
      <c r="A15" s="25" t="s">
        <v>188</v>
      </c>
      <c r="B15" s="26"/>
      <c r="C15" s="26"/>
      <c r="D15" s="26"/>
      <c r="E15" s="26"/>
      <c r="F15" s="26"/>
      <c r="G15" s="26"/>
      <c r="H15" s="26"/>
      <c r="I15" s="26"/>
      <c r="J15" s="11">
        <v>62</v>
      </c>
      <c r="K15" s="11">
        <v>48</v>
      </c>
      <c r="L15" s="11">
        <v>75</v>
      </c>
      <c r="M15" s="11">
        <v>50</v>
      </c>
      <c r="N15" s="11">
        <v>22</v>
      </c>
      <c r="O15" s="11">
        <v>14</v>
      </c>
      <c r="P15" s="11">
        <f t="shared" si="4"/>
        <v>86</v>
      </c>
      <c r="Q15" s="11">
        <f t="shared" si="5"/>
        <v>271</v>
      </c>
      <c r="R15" s="11">
        <v>66</v>
      </c>
      <c r="S15" s="11">
        <v>60</v>
      </c>
      <c r="T15" s="11">
        <v>73</v>
      </c>
      <c r="U15" s="11">
        <v>28</v>
      </c>
      <c r="V15" s="11">
        <v>22</v>
      </c>
      <c r="W15" s="11">
        <v>18</v>
      </c>
      <c r="X15" s="11">
        <f t="shared" si="2"/>
        <v>68</v>
      </c>
      <c r="Y15" s="11">
        <f t="shared" si="3"/>
        <v>267</v>
      </c>
    </row>
  </sheetData>
  <sheetProtection formatCells="0" formatColumns="0" formatRows="0" insertRows="0" insertColumns="0" insertHyperlinks="0" deleteColumns="0" deleteRows="0" sort="0" autoFilter="0" pivotTables="0"/>
  <mergeCells count="3">
    <mergeCell ref="B1:I1"/>
    <mergeCell ref="J1:Q1"/>
    <mergeCell ref="R1:Y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0"/>
  <sheetViews>
    <sheetView zoomScale="130" zoomScaleNormal="130" workbookViewId="0">
      <selection activeCell="O14" sqref="O14"/>
    </sheetView>
  </sheetViews>
  <sheetFormatPr defaultColWidth="9.62727272727273" defaultRowHeight="14"/>
  <cols>
    <col min="1" max="1" width="8.87272727272727" customWidth="1"/>
    <col min="2" max="3" width="5.25454545454545" customWidth="1"/>
    <col min="4" max="4" width="9" customWidth="1"/>
    <col min="5" max="5" width="5.25454545454545" customWidth="1"/>
    <col min="6" max="6" width="9" customWidth="1"/>
    <col min="7" max="10" width="5.25454545454545" customWidth="1"/>
    <col min="11" max="11" width="9" customWidth="1"/>
    <col min="12" max="12" width="5.25454545454545" customWidth="1"/>
    <col min="13" max="13" width="9" customWidth="1"/>
    <col min="14" max="15" width="5.25454545454545" customWidth="1"/>
  </cols>
  <sheetData>
    <row r="1" ht="17.5" spans="1:15">
      <c r="A1" s="8"/>
      <c r="B1" s="10" t="s">
        <v>0</v>
      </c>
      <c r="C1" s="10"/>
      <c r="D1" s="10"/>
      <c r="E1" s="10"/>
      <c r="F1" s="10"/>
      <c r="G1" s="10"/>
      <c r="H1" s="10"/>
      <c r="I1" s="10" t="s">
        <v>1</v>
      </c>
      <c r="J1" s="10"/>
      <c r="K1" s="10"/>
      <c r="L1" s="10"/>
      <c r="M1" s="10"/>
      <c r="N1" s="10"/>
      <c r="O1" s="10"/>
    </row>
    <row r="2" ht="17.5" spans="1:15">
      <c r="A2" s="8" t="s">
        <v>3</v>
      </c>
      <c r="B2" s="16" t="s">
        <v>4</v>
      </c>
      <c r="C2" s="16" t="s">
        <v>5</v>
      </c>
      <c r="D2" s="16" t="s">
        <v>38</v>
      </c>
      <c r="E2" s="16" t="s">
        <v>9</v>
      </c>
      <c r="F2" s="16" t="s">
        <v>6</v>
      </c>
      <c r="G2" s="9" t="s">
        <v>175</v>
      </c>
      <c r="H2" s="9" t="s">
        <v>10</v>
      </c>
      <c r="I2" s="16" t="s">
        <v>4</v>
      </c>
      <c r="J2" s="16" t="s">
        <v>5</v>
      </c>
      <c r="K2" s="16" t="s">
        <v>38</v>
      </c>
      <c r="L2" s="16" t="s">
        <v>9</v>
      </c>
      <c r="M2" s="16" t="s">
        <v>6</v>
      </c>
      <c r="N2" s="9" t="s">
        <v>175</v>
      </c>
      <c r="O2" s="9" t="s">
        <v>10</v>
      </c>
    </row>
    <row r="3" ht="17.5" spans="1:15">
      <c r="A3" s="8" t="s">
        <v>189</v>
      </c>
      <c r="B3" s="9">
        <v>86</v>
      </c>
      <c r="C3" s="9">
        <v>76</v>
      </c>
      <c r="D3" s="9">
        <v>65</v>
      </c>
      <c r="E3" s="9">
        <v>74</v>
      </c>
      <c r="F3" s="9">
        <v>48</v>
      </c>
      <c r="G3" s="16">
        <v>26</v>
      </c>
      <c r="H3" s="17">
        <f>SUM(B3:E3)</f>
        <v>301</v>
      </c>
      <c r="I3" s="17">
        <v>86</v>
      </c>
      <c r="J3" s="17">
        <v>78</v>
      </c>
      <c r="K3" s="17">
        <v>82</v>
      </c>
      <c r="L3" s="17">
        <v>88</v>
      </c>
      <c r="M3" s="17">
        <v>46</v>
      </c>
      <c r="N3" s="17">
        <v>42</v>
      </c>
      <c r="O3" s="17">
        <v>334</v>
      </c>
    </row>
    <row r="4" ht="17.5" spans="1:15">
      <c r="A4" s="8" t="s">
        <v>190</v>
      </c>
      <c r="B4" s="9">
        <v>72</v>
      </c>
      <c r="C4" s="9">
        <v>57</v>
      </c>
      <c r="D4" s="9">
        <v>47</v>
      </c>
      <c r="E4" s="9">
        <v>66</v>
      </c>
      <c r="F4" s="9">
        <v>42</v>
      </c>
      <c r="G4" s="9">
        <v>24</v>
      </c>
      <c r="H4" s="17">
        <f t="shared" ref="H4:H50" si="0">SUM(B4:E4)</f>
        <v>242</v>
      </c>
      <c r="I4" s="17">
        <v>64</v>
      </c>
      <c r="J4" s="17">
        <v>62</v>
      </c>
      <c r="K4" s="17">
        <v>67</v>
      </c>
      <c r="L4" s="17">
        <v>90</v>
      </c>
      <c r="M4" s="17">
        <v>44</v>
      </c>
      <c r="N4" s="17">
        <v>46</v>
      </c>
      <c r="O4" s="17">
        <v>283</v>
      </c>
    </row>
    <row r="5" ht="17.5" spans="1:15">
      <c r="A5" s="8" t="s">
        <v>191</v>
      </c>
      <c r="B5" s="16"/>
      <c r="C5" s="16"/>
      <c r="D5" s="16"/>
      <c r="E5" s="16"/>
      <c r="F5" s="16"/>
      <c r="G5" s="16"/>
      <c r="H5" s="17"/>
      <c r="I5" s="16"/>
      <c r="J5" s="16"/>
      <c r="K5" s="16"/>
      <c r="L5" s="16"/>
      <c r="M5" s="16"/>
      <c r="N5" s="16"/>
      <c r="O5" s="9"/>
    </row>
    <row r="6" ht="17.5" spans="1:15">
      <c r="A6" s="8" t="s">
        <v>192</v>
      </c>
      <c r="B6" s="9">
        <v>88</v>
      </c>
      <c r="C6" s="9">
        <v>92</v>
      </c>
      <c r="D6" s="9">
        <v>50</v>
      </c>
      <c r="E6" s="9">
        <v>82</v>
      </c>
      <c r="F6" s="9">
        <v>52</v>
      </c>
      <c r="G6" s="9">
        <v>30</v>
      </c>
      <c r="H6" s="17">
        <f t="shared" si="0"/>
        <v>312</v>
      </c>
      <c r="I6" s="17">
        <v>78</v>
      </c>
      <c r="J6" s="17">
        <v>72</v>
      </c>
      <c r="K6" s="17">
        <v>63</v>
      </c>
      <c r="L6" s="17">
        <v>108</v>
      </c>
      <c r="M6" s="17">
        <v>70</v>
      </c>
      <c r="N6" s="17">
        <v>38</v>
      </c>
      <c r="O6" s="17">
        <v>321</v>
      </c>
    </row>
    <row r="7" ht="17.5" spans="1:15">
      <c r="A7" s="8" t="s">
        <v>193</v>
      </c>
      <c r="B7" s="9">
        <v>74</v>
      </c>
      <c r="C7" s="9">
        <v>72</v>
      </c>
      <c r="D7" s="9">
        <v>85</v>
      </c>
      <c r="E7" s="9">
        <v>86</v>
      </c>
      <c r="F7" s="9">
        <v>52</v>
      </c>
      <c r="G7" s="9">
        <v>34</v>
      </c>
      <c r="H7" s="17">
        <f t="shared" si="0"/>
        <v>317</v>
      </c>
      <c r="I7" s="16"/>
      <c r="J7" s="16"/>
      <c r="K7" s="16"/>
      <c r="L7" s="16"/>
      <c r="M7" s="16"/>
      <c r="N7" s="16"/>
      <c r="O7" s="9"/>
    </row>
    <row r="8" ht="17.5" spans="1:15">
      <c r="A8" s="8" t="s">
        <v>194</v>
      </c>
      <c r="B8" s="9">
        <v>66</v>
      </c>
      <c r="C8" s="9">
        <v>80</v>
      </c>
      <c r="D8" s="9">
        <v>60</v>
      </c>
      <c r="E8" s="9">
        <v>74</v>
      </c>
      <c r="F8" s="9">
        <v>42</v>
      </c>
      <c r="G8" s="9">
        <v>32</v>
      </c>
      <c r="H8" s="17">
        <f t="shared" si="0"/>
        <v>280</v>
      </c>
      <c r="I8" s="17">
        <v>66</v>
      </c>
      <c r="J8" s="17">
        <v>82</v>
      </c>
      <c r="K8" s="17">
        <v>66</v>
      </c>
      <c r="L8" s="17">
        <v>90</v>
      </c>
      <c r="M8" s="17">
        <v>48</v>
      </c>
      <c r="N8" s="17">
        <v>42</v>
      </c>
      <c r="O8" s="17">
        <v>304</v>
      </c>
    </row>
    <row r="9" ht="17.5" spans="1:15">
      <c r="A9" s="8" t="s">
        <v>195</v>
      </c>
      <c r="B9" s="16"/>
      <c r="C9" s="16"/>
      <c r="D9" s="16"/>
      <c r="E9" s="16"/>
      <c r="F9" s="16"/>
      <c r="G9" s="16"/>
      <c r="H9" s="17"/>
      <c r="I9" s="16"/>
      <c r="J9" s="16"/>
      <c r="K9" s="16"/>
      <c r="L9" s="16"/>
      <c r="M9" s="16"/>
      <c r="N9" s="16"/>
      <c r="O9" s="9"/>
    </row>
    <row r="10" ht="17.5" spans="1:15">
      <c r="A10" s="8" t="s">
        <v>196</v>
      </c>
      <c r="B10" s="16"/>
      <c r="C10" s="16"/>
      <c r="D10" s="16"/>
      <c r="E10" s="16"/>
      <c r="F10" s="16"/>
      <c r="G10" s="16"/>
      <c r="H10" s="17"/>
      <c r="I10" s="16"/>
      <c r="J10" s="16"/>
      <c r="K10" s="16"/>
      <c r="L10" s="16"/>
      <c r="M10" s="16"/>
      <c r="N10" s="16"/>
      <c r="O10" s="9"/>
    </row>
    <row r="11" ht="17.5" spans="1:15">
      <c r="A11" s="8" t="s">
        <v>197</v>
      </c>
      <c r="B11" s="9">
        <v>86</v>
      </c>
      <c r="C11" s="9">
        <v>77</v>
      </c>
      <c r="D11" s="9">
        <v>37</v>
      </c>
      <c r="E11" s="9">
        <v>78</v>
      </c>
      <c r="F11" s="9">
        <v>52</v>
      </c>
      <c r="G11" s="9">
        <v>26</v>
      </c>
      <c r="H11" s="17">
        <f t="shared" si="0"/>
        <v>278</v>
      </c>
      <c r="I11" s="17">
        <v>70</v>
      </c>
      <c r="J11" s="17">
        <v>74</v>
      </c>
      <c r="K11" s="17">
        <v>79</v>
      </c>
      <c r="L11" s="17">
        <v>122</v>
      </c>
      <c r="M11" s="17">
        <v>64</v>
      </c>
      <c r="N11" s="17">
        <v>58</v>
      </c>
      <c r="O11" s="17">
        <v>345</v>
      </c>
    </row>
    <row r="12" ht="17.5" spans="1:15">
      <c r="A12" s="8" t="s">
        <v>198</v>
      </c>
      <c r="B12" s="9">
        <v>72</v>
      </c>
      <c r="C12" s="9">
        <v>68</v>
      </c>
      <c r="D12" s="9">
        <v>44</v>
      </c>
      <c r="E12" s="9">
        <v>102</v>
      </c>
      <c r="F12" s="9">
        <v>64</v>
      </c>
      <c r="G12" s="9">
        <v>38</v>
      </c>
      <c r="H12" s="17">
        <f t="shared" si="0"/>
        <v>286</v>
      </c>
      <c r="I12" s="17">
        <v>72</v>
      </c>
      <c r="J12" s="17">
        <v>71</v>
      </c>
      <c r="K12" s="17">
        <v>80</v>
      </c>
      <c r="L12" s="17">
        <v>110</v>
      </c>
      <c r="M12" s="17">
        <v>62</v>
      </c>
      <c r="N12" s="17">
        <v>48</v>
      </c>
      <c r="O12" s="17">
        <v>333</v>
      </c>
    </row>
    <row r="13" ht="17.5" spans="1:15">
      <c r="A13" s="8" t="s">
        <v>199</v>
      </c>
      <c r="B13" s="9">
        <v>80</v>
      </c>
      <c r="C13" s="9">
        <v>72</v>
      </c>
      <c r="D13" s="9">
        <v>52</v>
      </c>
      <c r="E13" s="9">
        <v>94</v>
      </c>
      <c r="F13" s="9">
        <v>58</v>
      </c>
      <c r="G13" s="9">
        <v>36</v>
      </c>
      <c r="H13" s="17">
        <f t="shared" si="0"/>
        <v>298</v>
      </c>
      <c r="I13" s="9">
        <v>84</v>
      </c>
      <c r="J13" s="9">
        <v>80</v>
      </c>
      <c r="K13" s="9">
        <v>77</v>
      </c>
      <c r="L13" s="9">
        <v>106</v>
      </c>
      <c r="M13" s="9">
        <v>58</v>
      </c>
      <c r="N13" s="9">
        <v>48</v>
      </c>
      <c r="O13" s="9">
        <v>347</v>
      </c>
    </row>
    <row r="14" ht="17.5" spans="1:15">
      <c r="A14" s="8" t="s">
        <v>200</v>
      </c>
      <c r="B14" s="9">
        <v>82</v>
      </c>
      <c r="C14" s="9">
        <v>76</v>
      </c>
      <c r="D14" s="9">
        <v>79</v>
      </c>
      <c r="E14" s="9">
        <v>92</v>
      </c>
      <c r="F14" s="9">
        <v>50</v>
      </c>
      <c r="G14" s="9">
        <v>42</v>
      </c>
      <c r="H14" s="17">
        <f t="shared" si="0"/>
        <v>329</v>
      </c>
      <c r="I14" s="17">
        <v>82</v>
      </c>
      <c r="J14" s="17">
        <v>71</v>
      </c>
      <c r="K14" s="17">
        <v>73</v>
      </c>
      <c r="L14" s="17">
        <v>102</v>
      </c>
      <c r="M14" s="17">
        <v>56</v>
      </c>
      <c r="N14" s="17">
        <v>46</v>
      </c>
      <c r="O14" s="17">
        <v>328</v>
      </c>
    </row>
    <row r="15" ht="17.5" spans="1:15">
      <c r="A15" s="8" t="s">
        <v>201</v>
      </c>
      <c r="B15" s="9">
        <v>90</v>
      </c>
      <c r="C15" s="9">
        <v>83</v>
      </c>
      <c r="D15" s="9">
        <v>70</v>
      </c>
      <c r="E15" s="9">
        <v>90</v>
      </c>
      <c r="F15" s="9">
        <v>56</v>
      </c>
      <c r="G15" s="9">
        <v>34</v>
      </c>
      <c r="H15" s="17">
        <f t="shared" si="0"/>
        <v>333</v>
      </c>
      <c r="I15" s="17">
        <v>88</v>
      </c>
      <c r="J15" s="17">
        <v>76</v>
      </c>
      <c r="K15" s="17">
        <v>85</v>
      </c>
      <c r="L15" s="17">
        <v>136</v>
      </c>
      <c r="M15" s="17">
        <v>76</v>
      </c>
      <c r="N15" s="17">
        <v>60</v>
      </c>
      <c r="O15" s="17">
        <v>385</v>
      </c>
    </row>
    <row r="16" ht="17.5" spans="1:15">
      <c r="A16" s="8" t="s">
        <v>202</v>
      </c>
      <c r="B16" s="9">
        <v>86</v>
      </c>
      <c r="C16" s="9">
        <v>73</v>
      </c>
      <c r="D16" s="9">
        <v>45</v>
      </c>
      <c r="E16" s="9">
        <v>70</v>
      </c>
      <c r="F16" s="9">
        <v>42</v>
      </c>
      <c r="G16" s="9">
        <v>28</v>
      </c>
      <c r="H16" s="17">
        <f t="shared" si="0"/>
        <v>274</v>
      </c>
      <c r="I16" s="17">
        <v>82</v>
      </c>
      <c r="J16" s="17">
        <v>60</v>
      </c>
      <c r="K16" s="17">
        <v>55</v>
      </c>
      <c r="L16" s="17">
        <v>120</v>
      </c>
      <c r="M16" s="17">
        <v>60</v>
      </c>
      <c r="N16" s="17">
        <v>60</v>
      </c>
      <c r="O16" s="17">
        <v>317</v>
      </c>
    </row>
    <row r="17" ht="17.5" spans="1:15">
      <c r="A17" s="8" t="s">
        <v>203</v>
      </c>
      <c r="B17" s="9">
        <v>84</v>
      </c>
      <c r="C17" s="9">
        <v>77</v>
      </c>
      <c r="D17" s="9">
        <v>67</v>
      </c>
      <c r="E17" s="9">
        <v>94</v>
      </c>
      <c r="F17" s="9">
        <v>60</v>
      </c>
      <c r="G17" s="9">
        <v>34</v>
      </c>
      <c r="H17" s="17">
        <f t="shared" si="0"/>
        <v>322</v>
      </c>
      <c r="I17" s="17">
        <v>76</v>
      </c>
      <c r="J17" s="17">
        <v>84</v>
      </c>
      <c r="K17" s="17">
        <v>86</v>
      </c>
      <c r="L17" s="17">
        <v>116</v>
      </c>
      <c r="M17" s="17">
        <v>70</v>
      </c>
      <c r="N17" s="17">
        <v>46</v>
      </c>
      <c r="O17" s="17">
        <v>362</v>
      </c>
    </row>
    <row r="18" ht="17.5" spans="1:15">
      <c r="A18" s="8" t="s">
        <v>204</v>
      </c>
      <c r="B18" s="9">
        <v>84</v>
      </c>
      <c r="C18" s="9">
        <v>63</v>
      </c>
      <c r="D18" s="9">
        <v>68</v>
      </c>
      <c r="E18" s="9">
        <v>82</v>
      </c>
      <c r="F18" s="9">
        <v>56</v>
      </c>
      <c r="G18" s="9">
        <v>26</v>
      </c>
      <c r="H18" s="17">
        <f t="shared" si="0"/>
        <v>297</v>
      </c>
      <c r="I18" s="17">
        <v>78</v>
      </c>
      <c r="J18" s="17">
        <v>78</v>
      </c>
      <c r="K18" s="17">
        <v>59</v>
      </c>
      <c r="L18" s="17">
        <v>114</v>
      </c>
      <c r="M18" s="17">
        <v>68</v>
      </c>
      <c r="N18" s="17">
        <v>46</v>
      </c>
      <c r="O18" s="17">
        <v>329</v>
      </c>
    </row>
    <row r="19" ht="17.5" spans="1:15">
      <c r="A19" s="8" t="s">
        <v>205</v>
      </c>
      <c r="B19" s="9">
        <v>86</v>
      </c>
      <c r="C19" s="9">
        <v>72</v>
      </c>
      <c r="D19" s="9">
        <v>70</v>
      </c>
      <c r="E19" s="9">
        <v>82</v>
      </c>
      <c r="F19" s="9">
        <v>44</v>
      </c>
      <c r="G19" s="9">
        <v>38</v>
      </c>
      <c r="H19" s="17">
        <f t="shared" si="0"/>
        <v>310</v>
      </c>
      <c r="I19" s="17">
        <v>88</v>
      </c>
      <c r="J19" s="17">
        <v>77</v>
      </c>
      <c r="K19" s="17">
        <v>59</v>
      </c>
      <c r="L19" s="17">
        <v>122</v>
      </c>
      <c r="M19" s="17">
        <v>68</v>
      </c>
      <c r="N19" s="17">
        <v>54</v>
      </c>
      <c r="O19" s="17">
        <v>346</v>
      </c>
    </row>
    <row r="20" ht="17.5" spans="1:15">
      <c r="A20" s="8" t="s">
        <v>206</v>
      </c>
      <c r="B20" s="16"/>
      <c r="C20" s="16"/>
      <c r="D20" s="16"/>
      <c r="E20" s="16"/>
      <c r="F20" s="16"/>
      <c r="G20" s="16"/>
      <c r="H20" s="17"/>
      <c r="I20" s="16"/>
      <c r="J20" s="16"/>
      <c r="K20" s="16"/>
      <c r="L20" s="16"/>
      <c r="M20" s="16"/>
      <c r="N20" s="16"/>
      <c r="O20" s="9"/>
    </row>
    <row r="21" ht="17.5" spans="1:15">
      <c r="A21" s="8" t="s">
        <v>207</v>
      </c>
      <c r="B21" s="9">
        <v>82</v>
      </c>
      <c r="C21" s="9">
        <v>79</v>
      </c>
      <c r="D21" s="9">
        <v>67</v>
      </c>
      <c r="E21" s="9">
        <v>74</v>
      </c>
      <c r="F21" s="9">
        <v>46</v>
      </c>
      <c r="G21" s="9">
        <v>28</v>
      </c>
      <c r="H21" s="17">
        <f t="shared" si="0"/>
        <v>302</v>
      </c>
      <c r="I21" s="17">
        <v>78</v>
      </c>
      <c r="J21" s="17">
        <v>69</v>
      </c>
      <c r="K21" s="17">
        <v>86</v>
      </c>
      <c r="L21" s="17">
        <v>104</v>
      </c>
      <c r="M21" s="17">
        <v>50</v>
      </c>
      <c r="N21" s="17">
        <v>54</v>
      </c>
      <c r="O21" s="17">
        <v>337</v>
      </c>
    </row>
    <row r="22" ht="17.5" spans="1:15">
      <c r="A22" s="8" t="s">
        <v>208</v>
      </c>
      <c r="B22" s="16"/>
      <c r="C22" s="16"/>
      <c r="D22" s="16"/>
      <c r="E22" s="16"/>
      <c r="F22" s="16"/>
      <c r="G22" s="16"/>
      <c r="H22" s="17">
        <f t="shared" si="0"/>
        <v>0</v>
      </c>
      <c r="I22" s="17">
        <v>50</v>
      </c>
      <c r="J22" s="17">
        <v>65</v>
      </c>
      <c r="K22" s="17">
        <v>41</v>
      </c>
      <c r="L22" s="17">
        <v>72</v>
      </c>
      <c r="M22" s="17">
        <v>36</v>
      </c>
      <c r="N22" s="17">
        <v>36</v>
      </c>
      <c r="O22" s="17">
        <v>228</v>
      </c>
    </row>
    <row r="23" ht="17.5" spans="1:15">
      <c r="A23" s="8" t="s">
        <v>209</v>
      </c>
      <c r="B23" s="9">
        <v>88</v>
      </c>
      <c r="C23" s="9">
        <v>74</v>
      </c>
      <c r="D23" s="9">
        <v>60</v>
      </c>
      <c r="E23" s="9">
        <v>82</v>
      </c>
      <c r="F23" s="9">
        <v>54</v>
      </c>
      <c r="G23" s="9">
        <v>28</v>
      </c>
      <c r="H23" s="17">
        <f t="shared" si="0"/>
        <v>304</v>
      </c>
      <c r="I23" s="17">
        <v>82</v>
      </c>
      <c r="J23" s="17">
        <v>66</v>
      </c>
      <c r="K23" s="17">
        <v>94</v>
      </c>
      <c r="L23" s="17">
        <v>118</v>
      </c>
      <c r="M23" s="17">
        <v>64</v>
      </c>
      <c r="N23" s="17">
        <v>54</v>
      </c>
      <c r="O23" s="17">
        <v>360</v>
      </c>
    </row>
    <row r="24" ht="17.5" spans="1:15">
      <c r="A24" s="8" t="s">
        <v>210</v>
      </c>
      <c r="B24" s="9">
        <v>90</v>
      </c>
      <c r="C24" s="9">
        <v>74</v>
      </c>
      <c r="D24" s="9">
        <v>70</v>
      </c>
      <c r="E24" s="9">
        <v>56</v>
      </c>
      <c r="F24" s="9">
        <v>32</v>
      </c>
      <c r="G24" s="9">
        <v>26</v>
      </c>
      <c r="H24" s="17">
        <f t="shared" si="0"/>
        <v>290</v>
      </c>
      <c r="I24" s="17">
        <v>78</v>
      </c>
      <c r="J24" s="17">
        <v>72</v>
      </c>
      <c r="K24" s="17">
        <v>64</v>
      </c>
      <c r="L24" s="17">
        <v>96</v>
      </c>
      <c r="M24" s="17">
        <v>46</v>
      </c>
      <c r="N24" s="17">
        <v>50</v>
      </c>
      <c r="O24" s="17">
        <v>310</v>
      </c>
    </row>
    <row r="25" ht="17.5" spans="1:15">
      <c r="A25" s="8" t="s">
        <v>211</v>
      </c>
      <c r="B25" s="9">
        <v>84</v>
      </c>
      <c r="C25" s="9">
        <v>81</v>
      </c>
      <c r="D25" s="9">
        <v>70</v>
      </c>
      <c r="E25" s="9">
        <v>62</v>
      </c>
      <c r="F25" s="9">
        <v>44</v>
      </c>
      <c r="G25" s="9">
        <v>18</v>
      </c>
      <c r="H25" s="17">
        <f t="shared" si="0"/>
        <v>297</v>
      </c>
      <c r="I25" s="17">
        <v>80</v>
      </c>
      <c r="J25" s="17">
        <v>79</v>
      </c>
      <c r="K25" s="17">
        <v>75</v>
      </c>
      <c r="L25" s="17">
        <v>120</v>
      </c>
      <c r="M25" s="17">
        <v>66</v>
      </c>
      <c r="N25" s="17">
        <v>54</v>
      </c>
      <c r="O25" s="17">
        <v>354</v>
      </c>
    </row>
    <row r="26" ht="17.5" spans="1:15">
      <c r="A26" s="8" t="s">
        <v>212</v>
      </c>
      <c r="B26" s="9">
        <v>76</v>
      </c>
      <c r="C26" s="9">
        <v>46</v>
      </c>
      <c r="D26" s="9">
        <v>68</v>
      </c>
      <c r="E26" s="9">
        <v>78</v>
      </c>
      <c r="F26" s="9">
        <v>50</v>
      </c>
      <c r="G26" s="9">
        <v>28</v>
      </c>
      <c r="H26" s="17">
        <f t="shared" si="0"/>
        <v>268</v>
      </c>
      <c r="I26" s="17">
        <v>72</v>
      </c>
      <c r="J26" s="17">
        <v>58</v>
      </c>
      <c r="K26" s="17">
        <v>88</v>
      </c>
      <c r="L26" s="17">
        <v>100</v>
      </c>
      <c r="M26" s="17">
        <v>52</v>
      </c>
      <c r="N26" s="17">
        <v>48</v>
      </c>
      <c r="O26" s="17">
        <v>318</v>
      </c>
    </row>
    <row r="27" ht="17.5" spans="1:15">
      <c r="A27" s="8" t="s">
        <v>213</v>
      </c>
      <c r="B27" s="9">
        <v>72</v>
      </c>
      <c r="C27" s="9">
        <v>80</v>
      </c>
      <c r="D27" s="9">
        <v>42</v>
      </c>
      <c r="E27" s="9">
        <v>68</v>
      </c>
      <c r="F27" s="9">
        <v>40</v>
      </c>
      <c r="G27" s="9">
        <v>28</v>
      </c>
      <c r="H27" s="17">
        <f t="shared" si="0"/>
        <v>262</v>
      </c>
      <c r="I27" s="17">
        <v>64</v>
      </c>
      <c r="J27" s="17">
        <v>53</v>
      </c>
      <c r="K27" s="17">
        <v>85</v>
      </c>
      <c r="L27" s="17">
        <v>110</v>
      </c>
      <c r="M27" s="17">
        <v>56</v>
      </c>
      <c r="N27" s="17">
        <v>54</v>
      </c>
      <c r="O27" s="17">
        <v>312</v>
      </c>
    </row>
    <row r="28" ht="17.5" spans="1:15">
      <c r="A28" s="8" t="s">
        <v>214</v>
      </c>
      <c r="B28" s="9">
        <v>80</v>
      </c>
      <c r="C28" s="9">
        <v>95</v>
      </c>
      <c r="D28" s="9">
        <v>55</v>
      </c>
      <c r="E28" s="9">
        <v>78</v>
      </c>
      <c r="F28" s="9">
        <v>48</v>
      </c>
      <c r="G28" s="9">
        <v>30</v>
      </c>
      <c r="H28" s="17">
        <f t="shared" si="0"/>
        <v>308</v>
      </c>
      <c r="I28" s="17">
        <v>76</v>
      </c>
      <c r="J28" s="17">
        <v>86</v>
      </c>
      <c r="K28" s="18">
        <v>97</v>
      </c>
      <c r="L28" s="17">
        <v>124</v>
      </c>
      <c r="M28" s="17">
        <v>64</v>
      </c>
      <c r="N28" s="17">
        <v>60</v>
      </c>
      <c r="O28" s="17">
        <v>383</v>
      </c>
    </row>
    <row r="29" ht="17.5" spans="1:15">
      <c r="A29" s="8" t="s">
        <v>215</v>
      </c>
      <c r="B29" s="9">
        <v>86</v>
      </c>
      <c r="C29" s="9">
        <v>87</v>
      </c>
      <c r="D29" s="9">
        <v>95</v>
      </c>
      <c r="E29" s="9">
        <v>80</v>
      </c>
      <c r="F29" s="9">
        <v>52</v>
      </c>
      <c r="G29" s="9">
        <v>28</v>
      </c>
      <c r="H29" s="17">
        <f t="shared" si="0"/>
        <v>348</v>
      </c>
      <c r="I29" s="17">
        <v>84</v>
      </c>
      <c r="J29" s="17">
        <v>76</v>
      </c>
      <c r="K29" s="17">
        <v>88</v>
      </c>
      <c r="L29" s="18">
        <v>138</v>
      </c>
      <c r="M29" s="17">
        <v>88</v>
      </c>
      <c r="N29" s="17">
        <v>50</v>
      </c>
      <c r="O29" s="17">
        <v>386</v>
      </c>
    </row>
    <row r="30" ht="17.5" spans="1:15">
      <c r="A30" s="8" t="s">
        <v>216</v>
      </c>
      <c r="B30" s="9">
        <v>58</v>
      </c>
      <c r="C30" s="9">
        <v>68</v>
      </c>
      <c r="D30" s="9">
        <v>68</v>
      </c>
      <c r="E30" s="9">
        <v>82</v>
      </c>
      <c r="F30" s="9">
        <v>48</v>
      </c>
      <c r="G30" s="9">
        <v>34</v>
      </c>
      <c r="H30" s="17">
        <f t="shared" si="0"/>
        <v>276</v>
      </c>
      <c r="I30" s="17">
        <v>46</v>
      </c>
      <c r="J30" s="17">
        <v>42</v>
      </c>
      <c r="K30" s="17">
        <v>50</v>
      </c>
      <c r="L30" s="17">
        <v>90</v>
      </c>
      <c r="M30" s="17">
        <v>50</v>
      </c>
      <c r="N30" s="17">
        <v>40</v>
      </c>
      <c r="O30" s="17">
        <v>228</v>
      </c>
    </row>
    <row r="31" ht="17.5" spans="1:15">
      <c r="A31" s="8" t="s">
        <v>217</v>
      </c>
      <c r="B31" s="9">
        <v>62</v>
      </c>
      <c r="C31" s="9">
        <v>38</v>
      </c>
      <c r="D31" s="9">
        <v>77</v>
      </c>
      <c r="E31" s="9">
        <v>66</v>
      </c>
      <c r="F31" s="9">
        <v>36</v>
      </c>
      <c r="G31" s="9">
        <v>30</v>
      </c>
      <c r="H31" s="17">
        <f t="shared" si="0"/>
        <v>243</v>
      </c>
      <c r="I31" s="17">
        <v>72</v>
      </c>
      <c r="J31" s="17">
        <v>39</v>
      </c>
      <c r="K31" s="17">
        <v>73</v>
      </c>
      <c r="L31" s="17">
        <v>92</v>
      </c>
      <c r="M31" s="17">
        <v>40</v>
      </c>
      <c r="N31" s="17">
        <v>52</v>
      </c>
      <c r="O31" s="17">
        <v>276</v>
      </c>
    </row>
    <row r="32" ht="17.5" spans="1:15">
      <c r="A32" s="8" t="s">
        <v>218</v>
      </c>
      <c r="B32" s="9">
        <v>36</v>
      </c>
      <c r="C32" s="9">
        <v>55</v>
      </c>
      <c r="D32" s="9">
        <v>56</v>
      </c>
      <c r="E32" s="9">
        <v>110</v>
      </c>
      <c r="F32" s="9">
        <v>58</v>
      </c>
      <c r="G32" s="9">
        <v>52</v>
      </c>
      <c r="H32" s="17">
        <f t="shared" si="0"/>
        <v>257</v>
      </c>
      <c r="I32" s="17">
        <v>50</v>
      </c>
      <c r="J32" s="17">
        <v>66</v>
      </c>
      <c r="K32" s="17">
        <v>67</v>
      </c>
      <c r="L32" s="17">
        <v>118</v>
      </c>
      <c r="M32" s="17">
        <v>64</v>
      </c>
      <c r="N32" s="17">
        <v>54</v>
      </c>
      <c r="O32" s="17">
        <v>301</v>
      </c>
    </row>
    <row r="33" ht="17.5" spans="1:15">
      <c r="A33" s="8" t="s">
        <v>219</v>
      </c>
      <c r="B33" s="16"/>
      <c r="C33" s="16"/>
      <c r="D33" s="16"/>
      <c r="E33" s="16"/>
      <c r="F33" s="16"/>
      <c r="G33" s="16"/>
      <c r="H33" s="17"/>
      <c r="I33" s="17">
        <v>60</v>
      </c>
      <c r="J33" s="17">
        <v>50</v>
      </c>
      <c r="K33" s="17">
        <v>89</v>
      </c>
      <c r="L33" s="17">
        <v>118</v>
      </c>
      <c r="M33" s="17">
        <v>72</v>
      </c>
      <c r="N33" s="17">
        <v>46</v>
      </c>
      <c r="O33" s="17">
        <v>317</v>
      </c>
    </row>
    <row r="34" ht="17.5" spans="1:15">
      <c r="A34" s="8" t="s">
        <v>220</v>
      </c>
      <c r="B34" s="9">
        <v>64</v>
      </c>
      <c r="C34" s="9">
        <v>58</v>
      </c>
      <c r="D34" s="9">
        <v>65</v>
      </c>
      <c r="E34" s="9">
        <v>76</v>
      </c>
      <c r="F34" s="9">
        <v>48</v>
      </c>
      <c r="G34" s="9">
        <v>28</v>
      </c>
      <c r="H34" s="17">
        <f t="shared" si="0"/>
        <v>263</v>
      </c>
      <c r="I34" s="17">
        <v>50</v>
      </c>
      <c r="J34" s="17">
        <v>67</v>
      </c>
      <c r="K34" s="17">
        <v>62</v>
      </c>
      <c r="L34" s="17">
        <v>116</v>
      </c>
      <c r="M34" s="17">
        <v>56</v>
      </c>
      <c r="N34" s="17">
        <v>60</v>
      </c>
      <c r="O34" s="17">
        <v>295</v>
      </c>
    </row>
    <row r="35" ht="17.5" spans="1:15">
      <c r="A35" s="8" t="s">
        <v>221</v>
      </c>
      <c r="B35" s="9">
        <v>70</v>
      </c>
      <c r="C35" s="9">
        <v>65</v>
      </c>
      <c r="D35" s="9">
        <v>52</v>
      </c>
      <c r="E35" s="9">
        <v>98</v>
      </c>
      <c r="F35" s="9">
        <v>68</v>
      </c>
      <c r="G35" s="9">
        <v>30</v>
      </c>
      <c r="H35" s="17">
        <f t="shared" si="0"/>
        <v>285</v>
      </c>
      <c r="I35" s="17">
        <v>66</v>
      </c>
      <c r="J35" s="17">
        <v>74</v>
      </c>
      <c r="K35" s="17">
        <v>80</v>
      </c>
      <c r="L35" s="17">
        <v>122</v>
      </c>
      <c r="M35" s="17">
        <v>68</v>
      </c>
      <c r="N35" s="17">
        <v>54</v>
      </c>
      <c r="O35" s="17">
        <v>342</v>
      </c>
    </row>
    <row r="36" ht="17.5" spans="1:15">
      <c r="A36" s="8" t="s">
        <v>222</v>
      </c>
      <c r="B36" s="9">
        <v>72</v>
      </c>
      <c r="C36" s="9">
        <v>84</v>
      </c>
      <c r="D36" s="9">
        <v>51</v>
      </c>
      <c r="E36" s="9">
        <v>86</v>
      </c>
      <c r="F36" s="9">
        <v>52</v>
      </c>
      <c r="G36" s="9">
        <v>34</v>
      </c>
      <c r="H36" s="17">
        <f t="shared" si="0"/>
        <v>293</v>
      </c>
      <c r="I36" s="16"/>
      <c r="J36" s="16"/>
      <c r="K36" s="16"/>
      <c r="L36" s="16"/>
      <c r="M36" s="16"/>
      <c r="N36" s="16"/>
      <c r="O36" s="17"/>
    </row>
    <row r="37" ht="17.5" spans="1:15">
      <c r="A37" s="8" t="s">
        <v>223</v>
      </c>
      <c r="B37" s="9">
        <v>92</v>
      </c>
      <c r="C37" s="9">
        <v>93</v>
      </c>
      <c r="D37" s="9">
        <v>65</v>
      </c>
      <c r="E37" s="9">
        <v>90</v>
      </c>
      <c r="F37" s="9">
        <v>50</v>
      </c>
      <c r="G37" s="9">
        <v>40</v>
      </c>
      <c r="H37" s="17">
        <f t="shared" si="0"/>
        <v>340</v>
      </c>
      <c r="I37" s="17">
        <v>76</v>
      </c>
      <c r="J37" s="17">
        <v>85</v>
      </c>
      <c r="K37" s="17">
        <v>58</v>
      </c>
      <c r="L37" s="17">
        <v>110</v>
      </c>
      <c r="M37" s="17">
        <v>66</v>
      </c>
      <c r="N37" s="17">
        <v>44</v>
      </c>
      <c r="O37" s="17">
        <v>329</v>
      </c>
    </row>
    <row r="38" ht="17.5" spans="1:15">
      <c r="A38" s="8" t="s">
        <v>224</v>
      </c>
      <c r="B38" s="9">
        <v>74</v>
      </c>
      <c r="C38" s="9">
        <v>46</v>
      </c>
      <c r="D38" s="9">
        <v>67</v>
      </c>
      <c r="E38" s="9">
        <v>64</v>
      </c>
      <c r="F38" s="9">
        <v>42</v>
      </c>
      <c r="G38" s="9">
        <v>22</v>
      </c>
      <c r="H38" s="17">
        <f t="shared" si="0"/>
        <v>251</v>
      </c>
      <c r="I38" s="17">
        <v>58</v>
      </c>
      <c r="J38" s="17">
        <v>62</v>
      </c>
      <c r="K38" s="17">
        <v>73</v>
      </c>
      <c r="L38" s="17">
        <v>100</v>
      </c>
      <c r="M38" s="17">
        <v>48</v>
      </c>
      <c r="N38" s="17">
        <v>52</v>
      </c>
      <c r="O38" s="17">
        <v>293</v>
      </c>
    </row>
    <row r="39" ht="17.5" spans="1:15">
      <c r="A39" s="8" t="s">
        <v>225</v>
      </c>
      <c r="B39" s="9">
        <v>48</v>
      </c>
      <c r="C39" s="9">
        <v>37</v>
      </c>
      <c r="D39" s="9">
        <v>79</v>
      </c>
      <c r="E39" s="9">
        <v>82</v>
      </c>
      <c r="F39" s="9">
        <v>56</v>
      </c>
      <c r="G39" s="9">
        <v>26</v>
      </c>
      <c r="H39" s="17">
        <f t="shared" si="0"/>
        <v>246</v>
      </c>
      <c r="I39" s="17">
        <v>50</v>
      </c>
      <c r="J39" s="17">
        <v>40</v>
      </c>
      <c r="K39" s="17">
        <v>71</v>
      </c>
      <c r="L39" s="17">
        <v>114</v>
      </c>
      <c r="M39" s="17">
        <v>54</v>
      </c>
      <c r="N39" s="17">
        <v>60</v>
      </c>
      <c r="O39" s="17">
        <v>275</v>
      </c>
    </row>
    <row r="40" ht="17.5" spans="1:15">
      <c r="A40" s="8" t="s">
        <v>226</v>
      </c>
      <c r="B40" s="9">
        <v>60</v>
      </c>
      <c r="C40" s="9">
        <v>34</v>
      </c>
      <c r="D40" s="9">
        <v>72</v>
      </c>
      <c r="E40" s="9">
        <v>76</v>
      </c>
      <c r="F40" s="9">
        <v>48</v>
      </c>
      <c r="G40" s="9">
        <v>28</v>
      </c>
      <c r="H40" s="17">
        <f t="shared" si="0"/>
        <v>242</v>
      </c>
      <c r="I40" s="17">
        <v>58</v>
      </c>
      <c r="J40" s="17">
        <v>48</v>
      </c>
      <c r="K40" s="17">
        <v>89</v>
      </c>
      <c r="L40" s="17">
        <v>102</v>
      </c>
      <c r="M40" s="17">
        <v>56</v>
      </c>
      <c r="N40" s="17">
        <v>46</v>
      </c>
      <c r="O40" s="17">
        <v>297</v>
      </c>
    </row>
    <row r="41" ht="17.5" spans="1:15">
      <c r="A41" s="8" t="s">
        <v>227</v>
      </c>
      <c r="B41" s="9">
        <v>62</v>
      </c>
      <c r="C41" s="9">
        <v>34</v>
      </c>
      <c r="D41" s="9">
        <v>73</v>
      </c>
      <c r="E41" s="9">
        <v>76</v>
      </c>
      <c r="F41" s="9">
        <v>50</v>
      </c>
      <c r="G41" s="9">
        <v>26</v>
      </c>
      <c r="H41" s="17">
        <f t="shared" si="0"/>
        <v>245</v>
      </c>
      <c r="I41" s="17">
        <v>56</v>
      </c>
      <c r="J41" s="17">
        <v>59</v>
      </c>
      <c r="K41" s="17">
        <v>91</v>
      </c>
      <c r="L41" s="17">
        <v>134</v>
      </c>
      <c r="M41" s="17">
        <v>74</v>
      </c>
      <c r="N41" s="17">
        <v>60</v>
      </c>
      <c r="O41" s="17">
        <v>340</v>
      </c>
    </row>
    <row r="42" ht="17.5" spans="1:15">
      <c r="A42" s="8" t="s">
        <v>228</v>
      </c>
      <c r="B42" s="9">
        <v>48</v>
      </c>
      <c r="C42" s="9">
        <v>34</v>
      </c>
      <c r="D42" s="9">
        <v>67</v>
      </c>
      <c r="E42" s="9">
        <v>76</v>
      </c>
      <c r="F42" s="9">
        <v>52</v>
      </c>
      <c r="G42" s="9">
        <v>24</v>
      </c>
      <c r="H42" s="17">
        <f t="shared" si="0"/>
        <v>225</v>
      </c>
      <c r="I42" s="17">
        <v>44</v>
      </c>
      <c r="J42" s="17">
        <v>34</v>
      </c>
      <c r="K42" s="17">
        <v>59</v>
      </c>
      <c r="L42" s="17">
        <v>88</v>
      </c>
      <c r="M42" s="17">
        <v>40</v>
      </c>
      <c r="N42" s="17">
        <v>48</v>
      </c>
      <c r="O42" s="17">
        <v>225</v>
      </c>
    </row>
    <row r="43" ht="17.5" spans="1:15">
      <c r="A43" s="8" t="s">
        <v>229</v>
      </c>
      <c r="B43" s="9">
        <v>84</v>
      </c>
      <c r="C43" s="9">
        <v>79</v>
      </c>
      <c r="D43" s="9">
        <v>76</v>
      </c>
      <c r="E43" s="9">
        <v>64</v>
      </c>
      <c r="F43" s="9">
        <v>40</v>
      </c>
      <c r="G43" s="9">
        <v>24</v>
      </c>
      <c r="H43" s="17">
        <f t="shared" si="0"/>
        <v>303</v>
      </c>
      <c r="I43" s="17">
        <v>86</v>
      </c>
      <c r="J43" s="17">
        <v>79</v>
      </c>
      <c r="K43" s="17">
        <v>92</v>
      </c>
      <c r="L43" s="17">
        <v>108</v>
      </c>
      <c r="M43" s="17">
        <v>54</v>
      </c>
      <c r="N43" s="17">
        <v>54</v>
      </c>
      <c r="O43" s="17">
        <v>365</v>
      </c>
    </row>
    <row r="44" ht="17.5" spans="1:15">
      <c r="A44" s="8" t="s">
        <v>230</v>
      </c>
      <c r="B44" s="9">
        <v>88</v>
      </c>
      <c r="C44" s="9">
        <v>64</v>
      </c>
      <c r="D44" s="9">
        <v>64</v>
      </c>
      <c r="E44" s="9">
        <v>70</v>
      </c>
      <c r="F44" s="9">
        <v>46</v>
      </c>
      <c r="G44" s="9">
        <v>24</v>
      </c>
      <c r="H44" s="17">
        <f t="shared" si="0"/>
        <v>286</v>
      </c>
      <c r="I44" s="17">
        <v>82</v>
      </c>
      <c r="J44" s="17">
        <v>79</v>
      </c>
      <c r="K44" s="17">
        <v>83</v>
      </c>
      <c r="L44" s="17">
        <v>138</v>
      </c>
      <c r="M44" s="17">
        <v>78</v>
      </c>
      <c r="N44" s="17">
        <v>60</v>
      </c>
      <c r="O44" s="17">
        <v>382</v>
      </c>
    </row>
    <row r="45" ht="17.5" spans="1:15">
      <c r="A45" s="8" t="s">
        <v>231</v>
      </c>
      <c r="B45" s="9">
        <v>68</v>
      </c>
      <c r="C45" s="9">
        <v>76</v>
      </c>
      <c r="D45" s="9">
        <v>59</v>
      </c>
      <c r="E45" s="9">
        <v>76</v>
      </c>
      <c r="F45" s="9">
        <v>50</v>
      </c>
      <c r="G45" s="9">
        <v>26</v>
      </c>
      <c r="H45" s="17">
        <f t="shared" si="0"/>
        <v>279</v>
      </c>
      <c r="I45" s="17">
        <v>72</v>
      </c>
      <c r="J45" s="17">
        <v>76</v>
      </c>
      <c r="K45" s="17">
        <v>68</v>
      </c>
      <c r="L45" s="17">
        <v>106</v>
      </c>
      <c r="M45" s="17">
        <v>74</v>
      </c>
      <c r="N45" s="17">
        <v>32</v>
      </c>
      <c r="O45" s="17">
        <v>322</v>
      </c>
    </row>
    <row r="46" ht="17.5" spans="1:15">
      <c r="A46" s="8" t="s">
        <v>232</v>
      </c>
      <c r="B46" s="9">
        <v>84</v>
      </c>
      <c r="C46" s="9">
        <v>77</v>
      </c>
      <c r="D46" s="9">
        <v>49</v>
      </c>
      <c r="E46" s="9">
        <v>68</v>
      </c>
      <c r="F46" s="9">
        <v>40</v>
      </c>
      <c r="G46" s="9">
        <v>28</v>
      </c>
      <c r="H46" s="17">
        <f t="shared" si="0"/>
        <v>278</v>
      </c>
      <c r="I46" s="17">
        <v>84</v>
      </c>
      <c r="J46" s="17">
        <v>89</v>
      </c>
      <c r="K46" s="17">
        <v>88</v>
      </c>
      <c r="L46" s="17">
        <v>112</v>
      </c>
      <c r="M46" s="17">
        <v>64</v>
      </c>
      <c r="N46" s="17">
        <v>48</v>
      </c>
      <c r="O46" s="17">
        <v>373</v>
      </c>
    </row>
    <row r="47" ht="17.5" spans="1:15">
      <c r="A47" s="8" t="s">
        <v>233</v>
      </c>
      <c r="B47" s="9">
        <v>64</v>
      </c>
      <c r="C47" s="9">
        <v>56</v>
      </c>
      <c r="D47" s="9">
        <v>56</v>
      </c>
      <c r="E47" s="9">
        <v>66</v>
      </c>
      <c r="F47" s="9">
        <v>40</v>
      </c>
      <c r="G47" s="9">
        <v>26</v>
      </c>
      <c r="H47" s="17">
        <f t="shared" si="0"/>
        <v>242</v>
      </c>
      <c r="I47" s="17">
        <v>58</v>
      </c>
      <c r="J47" s="17">
        <v>56</v>
      </c>
      <c r="K47" s="17">
        <v>48</v>
      </c>
      <c r="L47" s="17">
        <v>90</v>
      </c>
      <c r="M47" s="17">
        <v>52</v>
      </c>
      <c r="N47" s="17">
        <v>38</v>
      </c>
      <c r="O47" s="17">
        <v>252</v>
      </c>
    </row>
    <row r="48" ht="17.5" spans="1:15">
      <c r="A48" s="8" t="s">
        <v>234</v>
      </c>
      <c r="B48" s="9">
        <v>54</v>
      </c>
      <c r="C48" s="9">
        <v>47</v>
      </c>
      <c r="D48" s="9">
        <v>61</v>
      </c>
      <c r="E48" s="9">
        <v>64</v>
      </c>
      <c r="F48" s="9">
        <v>42</v>
      </c>
      <c r="G48" s="9">
        <v>22</v>
      </c>
      <c r="H48" s="17">
        <f t="shared" si="0"/>
        <v>226</v>
      </c>
      <c r="I48" s="17">
        <v>46</v>
      </c>
      <c r="J48" s="17">
        <v>69</v>
      </c>
      <c r="K48" s="17">
        <v>71</v>
      </c>
      <c r="L48" s="17">
        <v>100</v>
      </c>
      <c r="M48" s="17">
        <v>50</v>
      </c>
      <c r="N48" s="17">
        <v>50</v>
      </c>
      <c r="O48" s="17">
        <v>286</v>
      </c>
    </row>
    <row r="49" ht="17.5" spans="1:15">
      <c r="A49" s="8" t="s">
        <v>235</v>
      </c>
      <c r="B49" s="9">
        <v>48</v>
      </c>
      <c r="C49" s="9">
        <v>44</v>
      </c>
      <c r="D49" s="9">
        <v>50</v>
      </c>
      <c r="E49" s="9">
        <v>88</v>
      </c>
      <c r="F49" s="9">
        <v>58</v>
      </c>
      <c r="G49" s="9">
        <v>30</v>
      </c>
      <c r="H49" s="17">
        <f t="shared" si="0"/>
        <v>230</v>
      </c>
      <c r="I49" s="17">
        <v>62</v>
      </c>
      <c r="J49" s="17">
        <v>67</v>
      </c>
      <c r="K49" s="17">
        <v>71</v>
      </c>
      <c r="L49" s="17">
        <v>94</v>
      </c>
      <c r="M49" s="17">
        <v>60</v>
      </c>
      <c r="N49" s="17">
        <v>34</v>
      </c>
      <c r="O49" s="17">
        <v>294</v>
      </c>
    </row>
    <row r="50" ht="17.5" spans="1:15">
      <c r="A50" s="8" t="s">
        <v>236</v>
      </c>
      <c r="B50" s="9">
        <v>82</v>
      </c>
      <c r="C50" s="9">
        <v>75</v>
      </c>
      <c r="D50" s="9">
        <v>65</v>
      </c>
      <c r="E50" s="9">
        <v>88</v>
      </c>
      <c r="F50" s="9">
        <v>50</v>
      </c>
      <c r="G50" s="9">
        <v>38</v>
      </c>
      <c r="H50" s="17">
        <f t="shared" si="0"/>
        <v>310</v>
      </c>
      <c r="I50" s="17">
        <v>72</v>
      </c>
      <c r="J50" s="17">
        <v>64</v>
      </c>
      <c r="K50" s="17">
        <v>65</v>
      </c>
      <c r="L50" s="17">
        <v>114</v>
      </c>
      <c r="M50" s="17">
        <v>60</v>
      </c>
      <c r="N50" s="17">
        <v>54</v>
      </c>
      <c r="O50" s="17">
        <v>315</v>
      </c>
    </row>
  </sheetData>
  <sheetProtection formatCells="0" formatColumns="0" formatRows="0" insertRows="0" insertColumns="0" insertHyperlinks="0" deleteColumns="0" deleteRows="0" sort="0" autoFilter="0" pivotTables="0"/>
  <mergeCells count="2">
    <mergeCell ref="B1:H1"/>
    <mergeCell ref="I1:O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9"/>
  <sheetViews>
    <sheetView zoomScale="110" zoomScaleNormal="110" workbookViewId="0">
      <pane xSplit="1" topLeftCell="B1" activePane="topRight" state="frozen"/>
      <selection/>
      <selection pane="topRight" activeCell="I9" sqref="I9"/>
    </sheetView>
  </sheetViews>
  <sheetFormatPr defaultColWidth="9.62727272727273" defaultRowHeight="14"/>
  <cols>
    <col min="1" max="1" width="7.75454545454545" customWidth="1"/>
    <col min="2" max="5" width="5.25454545454545" customWidth="1"/>
    <col min="6" max="6" width="9" customWidth="1"/>
    <col min="7" max="12" width="5.25454545454545" customWidth="1"/>
    <col min="13" max="13" width="9" customWidth="1"/>
    <col min="14" max="19" width="5.25454545454545" customWidth="1"/>
    <col min="20" max="20" width="9" customWidth="1"/>
    <col min="21" max="22" width="5.25454545454545" customWidth="1"/>
  </cols>
  <sheetData>
    <row r="1" ht="17.5" spans="1:22">
      <c r="A1" s="8"/>
      <c r="B1" s="10" t="s">
        <v>0</v>
      </c>
      <c r="C1" s="11"/>
      <c r="D1" s="11"/>
      <c r="E1" s="11"/>
      <c r="F1" s="11"/>
      <c r="G1" s="11"/>
      <c r="H1" s="11"/>
      <c r="I1" s="10" t="s">
        <v>1</v>
      </c>
      <c r="J1" s="11"/>
      <c r="K1" s="11"/>
      <c r="L1" s="11"/>
      <c r="M1" s="11"/>
      <c r="N1" s="11"/>
      <c r="O1" s="11"/>
      <c r="P1" s="10" t="s">
        <v>2</v>
      </c>
      <c r="Q1" s="11"/>
      <c r="R1" s="11"/>
      <c r="S1" s="11"/>
      <c r="T1" s="11"/>
      <c r="U1" s="11"/>
      <c r="V1" s="11"/>
    </row>
    <row r="2" ht="17.5" spans="1:22">
      <c r="A2" s="8" t="s">
        <v>3</v>
      </c>
      <c r="B2" s="10" t="s">
        <v>4</v>
      </c>
      <c r="C2" s="10" t="s">
        <v>5</v>
      </c>
      <c r="D2" s="10" t="s">
        <v>38</v>
      </c>
      <c r="E2" s="10" t="s">
        <v>9</v>
      </c>
      <c r="F2" s="10" t="s">
        <v>6</v>
      </c>
      <c r="G2" s="10" t="s">
        <v>175</v>
      </c>
      <c r="H2" s="10" t="s">
        <v>10</v>
      </c>
      <c r="I2" s="10" t="s">
        <v>4</v>
      </c>
      <c r="J2" s="10" t="s">
        <v>5</v>
      </c>
      <c r="K2" s="10" t="s">
        <v>38</v>
      </c>
      <c r="L2" s="10" t="s">
        <v>9</v>
      </c>
      <c r="M2" s="10" t="s">
        <v>6</v>
      </c>
      <c r="N2" s="10" t="s">
        <v>175</v>
      </c>
      <c r="O2" s="10" t="s">
        <v>10</v>
      </c>
      <c r="P2" s="10" t="s">
        <v>4</v>
      </c>
      <c r="Q2" s="10" t="s">
        <v>5</v>
      </c>
      <c r="R2" s="10" t="s">
        <v>38</v>
      </c>
      <c r="S2" s="10" t="s">
        <v>9</v>
      </c>
      <c r="T2" s="10" t="s">
        <v>6</v>
      </c>
      <c r="U2" s="10" t="s">
        <v>175</v>
      </c>
      <c r="V2" s="10" t="s">
        <v>10</v>
      </c>
    </row>
    <row r="3" ht="20.1" customHeight="1" spans="1:22">
      <c r="A3" s="12" t="s">
        <v>237</v>
      </c>
      <c r="B3" s="11">
        <v>72</v>
      </c>
      <c r="C3" s="11">
        <v>72</v>
      </c>
      <c r="D3" s="11">
        <v>69</v>
      </c>
      <c r="E3" s="11">
        <f>F3+G3</f>
        <v>102</v>
      </c>
      <c r="F3" s="11">
        <v>50</v>
      </c>
      <c r="G3" s="11">
        <v>52</v>
      </c>
      <c r="H3" s="11">
        <f>B3+C3+D3+E3</f>
        <v>315</v>
      </c>
      <c r="I3" s="9">
        <v>62</v>
      </c>
      <c r="J3" s="9">
        <v>67</v>
      </c>
      <c r="K3" s="9">
        <v>71</v>
      </c>
      <c r="L3" s="9">
        <v>84</v>
      </c>
      <c r="M3" s="9">
        <v>54</v>
      </c>
      <c r="N3" s="9">
        <v>30</v>
      </c>
      <c r="O3" s="9">
        <f>I3+J3+K3+L3</f>
        <v>284</v>
      </c>
      <c r="P3" s="9">
        <v>76</v>
      </c>
      <c r="Q3" s="9">
        <v>53</v>
      </c>
      <c r="R3" s="9">
        <v>74</v>
      </c>
      <c r="S3" s="9">
        <f t="shared" ref="S3:S25" si="0">U3+T3</f>
        <v>87</v>
      </c>
      <c r="T3" s="9">
        <v>48</v>
      </c>
      <c r="U3" s="9">
        <v>39</v>
      </c>
      <c r="V3" s="9">
        <f t="shared" ref="V3:V25" si="1">S3+R3+Q3+P3</f>
        <v>290</v>
      </c>
    </row>
    <row r="4" ht="20.1" customHeight="1" spans="1:22">
      <c r="A4" s="12" t="s">
        <v>238</v>
      </c>
      <c r="B4" s="11">
        <v>70</v>
      </c>
      <c r="C4" s="11">
        <v>56</v>
      </c>
      <c r="D4" s="11">
        <v>59</v>
      </c>
      <c r="E4" s="11">
        <f t="shared" ref="E4:E49" si="2">F4+G4</f>
        <v>118</v>
      </c>
      <c r="F4" s="11">
        <v>68</v>
      </c>
      <c r="G4" s="11">
        <v>50</v>
      </c>
      <c r="H4" s="11">
        <f t="shared" ref="H4:H49" si="3">B4+C4+D4+E4</f>
        <v>303</v>
      </c>
      <c r="I4" s="9">
        <v>76</v>
      </c>
      <c r="J4" s="9">
        <v>48</v>
      </c>
      <c r="K4" s="9">
        <v>71</v>
      </c>
      <c r="L4" s="9">
        <v>98</v>
      </c>
      <c r="M4" s="9">
        <v>54</v>
      </c>
      <c r="N4" s="9">
        <v>44</v>
      </c>
      <c r="O4" s="9">
        <f t="shared" ref="O4:O49" si="4">I4+J4+K4+L4</f>
        <v>293</v>
      </c>
      <c r="P4" s="9">
        <v>76</v>
      </c>
      <c r="Q4" s="9">
        <v>68</v>
      </c>
      <c r="R4" s="9">
        <v>80</v>
      </c>
      <c r="S4" s="9">
        <f t="shared" si="0"/>
        <v>115</v>
      </c>
      <c r="T4" s="9">
        <v>68</v>
      </c>
      <c r="U4" s="9">
        <v>47</v>
      </c>
      <c r="V4" s="9">
        <f t="shared" si="1"/>
        <v>339</v>
      </c>
    </row>
    <row r="5" ht="20.1" customHeight="1" spans="1:22">
      <c r="A5" s="12" t="s">
        <v>239</v>
      </c>
      <c r="B5" s="11">
        <v>80</v>
      </c>
      <c r="C5" s="11">
        <v>78</v>
      </c>
      <c r="D5" s="11">
        <v>79</v>
      </c>
      <c r="E5" s="11">
        <f t="shared" si="2"/>
        <v>126</v>
      </c>
      <c r="F5" s="11">
        <v>66</v>
      </c>
      <c r="G5" s="11">
        <v>60</v>
      </c>
      <c r="H5" s="11">
        <f t="shared" si="3"/>
        <v>363</v>
      </c>
      <c r="I5" s="9">
        <v>82</v>
      </c>
      <c r="J5" s="9">
        <v>80</v>
      </c>
      <c r="K5" s="9">
        <v>85</v>
      </c>
      <c r="L5" s="9">
        <v>110</v>
      </c>
      <c r="M5" s="9">
        <v>58</v>
      </c>
      <c r="N5" s="9">
        <v>52</v>
      </c>
      <c r="O5" s="9">
        <f t="shared" si="4"/>
        <v>357</v>
      </c>
      <c r="P5" s="10"/>
      <c r="Q5" s="10"/>
      <c r="R5" s="10"/>
      <c r="S5" s="10"/>
      <c r="T5" s="10"/>
      <c r="U5" s="10"/>
      <c r="V5" s="10"/>
    </row>
    <row r="6" ht="20.1" customHeight="1" spans="1:22">
      <c r="A6" s="12" t="s">
        <v>240</v>
      </c>
      <c r="B6" s="11">
        <v>80</v>
      </c>
      <c r="C6" s="11">
        <v>58</v>
      </c>
      <c r="D6" s="11">
        <v>71</v>
      </c>
      <c r="E6" s="11">
        <f t="shared" si="2"/>
        <v>114</v>
      </c>
      <c r="F6" s="11">
        <v>58</v>
      </c>
      <c r="G6" s="11">
        <v>56</v>
      </c>
      <c r="H6" s="11">
        <f t="shared" si="3"/>
        <v>323</v>
      </c>
      <c r="I6" s="9">
        <v>84</v>
      </c>
      <c r="J6" s="9">
        <v>61</v>
      </c>
      <c r="K6" s="9">
        <v>78</v>
      </c>
      <c r="L6" s="9">
        <v>92</v>
      </c>
      <c r="M6" s="9">
        <v>50</v>
      </c>
      <c r="N6" s="9">
        <v>42</v>
      </c>
      <c r="O6" s="9">
        <f t="shared" si="4"/>
        <v>315</v>
      </c>
      <c r="P6" s="9">
        <v>74</v>
      </c>
      <c r="Q6" s="9">
        <v>61</v>
      </c>
      <c r="R6" s="9">
        <v>74</v>
      </c>
      <c r="S6" s="9">
        <f t="shared" si="0"/>
        <v>100</v>
      </c>
      <c r="T6" s="9">
        <v>52</v>
      </c>
      <c r="U6" s="9">
        <v>48</v>
      </c>
      <c r="V6" s="9">
        <f t="shared" si="1"/>
        <v>309</v>
      </c>
    </row>
    <row r="7" ht="20.1" customHeight="1" spans="1:22">
      <c r="A7" s="12" t="s">
        <v>241</v>
      </c>
      <c r="B7" s="11">
        <v>84</v>
      </c>
      <c r="C7" s="11">
        <v>94</v>
      </c>
      <c r="D7" s="11">
        <v>73</v>
      </c>
      <c r="E7" s="11">
        <f t="shared" si="2"/>
        <v>114</v>
      </c>
      <c r="F7" s="11">
        <v>62</v>
      </c>
      <c r="G7" s="11">
        <v>52</v>
      </c>
      <c r="H7" s="11">
        <f t="shared" si="3"/>
        <v>365</v>
      </c>
      <c r="I7" s="9">
        <v>68</v>
      </c>
      <c r="J7" s="9">
        <v>90</v>
      </c>
      <c r="K7" s="9">
        <v>62</v>
      </c>
      <c r="L7" s="9">
        <v>114</v>
      </c>
      <c r="M7" s="9">
        <v>62</v>
      </c>
      <c r="N7" s="9">
        <v>52</v>
      </c>
      <c r="O7" s="9">
        <f t="shared" si="4"/>
        <v>334</v>
      </c>
      <c r="P7" s="9">
        <v>76</v>
      </c>
      <c r="Q7" s="9">
        <v>80</v>
      </c>
      <c r="R7" s="9">
        <v>86</v>
      </c>
      <c r="S7" s="9">
        <f t="shared" si="0"/>
        <v>123</v>
      </c>
      <c r="T7" s="9">
        <v>68</v>
      </c>
      <c r="U7" s="9">
        <v>55</v>
      </c>
      <c r="V7" s="9">
        <f t="shared" si="1"/>
        <v>365</v>
      </c>
    </row>
    <row r="8" ht="20.1" customHeight="1" spans="1:22">
      <c r="A8" s="12" t="s">
        <v>242</v>
      </c>
      <c r="B8" s="11">
        <v>62</v>
      </c>
      <c r="C8" s="11">
        <v>79</v>
      </c>
      <c r="D8" s="11">
        <v>91</v>
      </c>
      <c r="E8" s="11">
        <f t="shared" si="2"/>
        <v>104</v>
      </c>
      <c r="F8" s="11">
        <v>62</v>
      </c>
      <c r="G8" s="11">
        <v>42</v>
      </c>
      <c r="H8" s="11">
        <f t="shared" si="3"/>
        <v>336</v>
      </c>
      <c r="I8" s="9">
        <v>64</v>
      </c>
      <c r="J8" s="9">
        <v>77</v>
      </c>
      <c r="K8" s="9">
        <v>88</v>
      </c>
      <c r="L8" s="9">
        <v>136</v>
      </c>
      <c r="M8" s="9">
        <v>82</v>
      </c>
      <c r="N8" s="9">
        <v>54</v>
      </c>
      <c r="O8" s="9">
        <f t="shared" si="4"/>
        <v>365</v>
      </c>
      <c r="P8" s="10"/>
      <c r="Q8" s="10"/>
      <c r="R8" s="10"/>
      <c r="S8" s="10"/>
      <c r="T8" s="10"/>
      <c r="U8" s="10"/>
      <c r="V8" s="10"/>
    </row>
    <row r="9" ht="20.1" customHeight="1" spans="1:22">
      <c r="A9" s="12" t="s">
        <v>243</v>
      </c>
      <c r="B9" s="11">
        <v>92</v>
      </c>
      <c r="C9" s="11">
        <v>96</v>
      </c>
      <c r="D9" s="11">
        <v>80</v>
      </c>
      <c r="E9" s="11">
        <f t="shared" si="2"/>
        <v>84</v>
      </c>
      <c r="F9" s="11">
        <v>52</v>
      </c>
      <c r="G9" s="11">
        <v>32</v>
      </c>
      <c r="H9" s="11">
        <f t="shared" si="3"/>
        <v>352</v>
      </c>
      <c r="I9" s="9">
        <v>86</v>
      </c>
      <c r="J9" s="9">
        <v>91</v>
      </c>
      <c r="K9" s="9">
        <v>88</v>
      </c>
      <c r="L9" s="9">
        <v>92</v>
      </c>
      <c r="M9" s="9">
        <v>44</v>
      </c>
      <c r="N9" s="9">
        <v>48</v>
      </c>
      <c r="O9" s="9">
        <f t="shared" si="4"/>
        <v>357</v>
      </c>
      <c r="P9" s="10"/>
      <c r="Q9" s="10"/>
      <c r="R9" s="10"/>
      <c r="S9" s="10"/>
      <c r="T9" s="10"/>
      <c r="U9" s="10"/>
      <c r="V9" s="10"/>
    </row>
    <row r="10" ht="20.1" customHeight="1" spans="1:22">
      <c r="A10" s="12" t="s">
        <v>244</v>
      </c>
      <c r="B10" s="11">
        <v>88</v>
      </c>
      <c r="C10" s="11">
        <v>91</v>
      </c>
      <c r="D10" s="11">
        <v>79</v>
      </c>
      <c r="E10" s="11">
        <f t="shared" si="2"/>
        <v>114</v>
      </c>
      <c r="F10" s="11">
        <v>64</v>
      </c>
      <c r="G10" s="11">
        <v>50</v>
      </c>
      <c r="H10" s="11">
        <f t="shared" si="3"/>
        <v>372</v>
      </c>
      <c r="I10" s="9">
        <v>86</v>
      </c>
      <c r="J10" s="9">
        <v>96</v>
      </c>
      <c r="K10" s="9">
        <v>79</v>
      </c>
      <c r="L10" s="9">
        <v>122</v>
      </c>
      <c r="M10" s="9">
        <v>74</v>
      </c>
      <c r="N10" s="9">
        <v>48</v>
      </c>
      <c r="O10" s="9">
        <f t="shared" si="4"/>
        <v>383</v>
      </c>
      <c r="P10" s="10"/>
      <c r="Q10" s="10"/>
      <c r="R10" s="10"/>
      <c r="S10" s="10"/>
      <c r="T10" s="10"/>
      <c r="U10" s="10"/>
      <c r="V10" s="10"/>
    </row>
    <row r="11" ht="20.1" customHeight="1" spans="1:22">
      <c r="A11" s="12" t="s">
        <v>245</v>
      </c>
      <c r="B11" s="11">
        <v>70</v>
      </c>
      <c r="C11" s="11">
        <v>66</v>
      </c>
      <c r="D11" s="11">
        <v>74</v>
      </c>
      <c r="E11" s="11">
        <f t="shared" si="2"/>
        <v>66</v>
      </c>
      <c r="F11" s="11">
        <v>44</v>
      </c>
      <c r="G11" s="11">
        <v>22</v>
      </c>
      <c r="H11" s="11">
        <f t="shared" si="3"/>
        <v>276</v>
      </c>
      <c r="I11" s="9">
        <v>62</v>
      </c>
      <c r="J11" s="9">
        <v>70</v>
      </c>
      <c r="K11" s="9">
        <v>70</v>
      </c>
      <c r="L11" s="9">
        <v>110</v>
      </c>
      <c r="M11" s="9">
        <v>58</v>
      </c>
      <c r="N11" s="9">
        <v>52</v>
      </c>
      <c r="O11" s="9">
        <f t="shared" si="4"/>
        <v>312</v>
      </c>
      <c r="P11" s="9">
        <v>78</v>
      </c>
      <c r="Q11" s="9">
        <v>63</v>
      </c>
      <c r="R11" s="9">
        <v>74</v>
      </c>
      <c r="S11" s="9">
        <f t="shared" si="0"/>
        <v>115</v>
      </c>
      <c r="T11" s="9">
        <v>70</v>
      </c>
      <c r="U11" s="9">
        <v>45</v>
      </c>
      <c r="V11" s="9">
        <f t="shared" si="1"/>
        <v>330</v>
      </c>
    </row>
    <row r="12" ht="20.1" customHeight="1" spans="1:22">
      <c r="A12" s="12" t="s">
        <v>246</v>
      </c>
      <c r="B12" s="11">
        <v>92</v>
      </c>
      <c r="C12" s="11">
        <v>72</v>
      </c>
      <c r="D12" s="11">
        <v>62</v>
      </c>
      <c r="E12" s="11">
        <f t="shared" si="2"/>
        <v>122</v>
      </c>
      <c r="F12" s="11">
        <v>72</v>
      </c>
      <c r="G12" s="11">
        <v>50</v>
      </c>
      <c r="H12" s="11">
        <f t="shared" si="3"/>
        <v>348</v>
      </c>
      <c r="I12" s="9">
        <v>76</v>
      </c>
      <c r="J12" s="9">
        <v>78</v>
      </c>
      <c r="K12" s="9">
        <v>79</v>
      </c>
      <c r="L12" s="9">
        <v>130</v>
      </c>
      <c r="M12" s="9">
        <v>70</v>
      </c>
      <c r="N12" s="9">
        <v>60</v>
      </c>
      <c r="O12" s="9">
        <f t="shared" si="4"/>
        <v>363</v>
      </c>
      <c r="P12" s="9">
        <v>81</v>
      </c>
      <c r="Q12" s="9">
        <v>68</v>
      </c>
      <c r="R12" s="9">
        <v>89</v>
      </c>
      <c r="S12" s="9">
        <f t="shared" si="0"/>
        <v>122</v>
      </c>
      <c r="T12" s="9">
        <v>68</v>
      </c>
      <c r="U12" s="9">
        <v>54</v>
      </c>
      <c r="V12" s="9">
        <f t="shared" si="1"/>
        <v>360</v>
      </c>
    </row>
    <row r="13" ht="20.1" customHeight="1" spans="1:22">
      <c r="A13" s="12" t="s">
        <v>247</v>
      </c>
      <c r="B13" s="11">
        <v>84</v>
      </c>
      <c r="C13" s="11">
        <v>78</v>
      </c>
      <c r="D13" s="11">
        <v>77</v>
      </c>
      <c r="E13" s="11">
        <f t="shared" si="2"/>
        <v>116</v>
      </c>
      <c r="F13" s="11">
        <v>60</v>
      </c>
      <c r="G13" s="11">
        <v>56</v>
      </c>
      <c r="H13" s="11">
        <f t="shared" si="3"/>
        <v>355</v>
      </c>
      <c r="I13" s="9">
        <v>78</v>
      </c>
      <c r="J13" s="9">
        <v>84</v>
      </c>
      <c r="K13" s="9">
        <v>85</v>
      </c>
      <c r="L13" s="9">
        <v>117</v>
      </c>
      <c r="M13" s="9">
        <v>66</v>
      </c>
      <c r="N13" s="9">
        <v>52</v>
      </c>
      <c r="O13" s="9">
        <f t="shared" si="4"/>
        <v>364</v>
      </c>
      <c r="P13" s="9">
        <v>82</v>
      </c>
      <c r="Q13" s="9">
        <v>84</v>
      </c>
      <c r="R13" s="9">
        <v>72</v>
      </c>
      <c r="S13" s="9">
        <f t="shared" si="0"/>
        <v>128</v>
      </c>
      <c r="T13" s="9">
        <v>68</v>
      </c>
      <c r="U13" s="9">
        <v>60</v>
      </c>
      <c r="V13" s="9">
        <f t="shared" si="1"/>
        <v>366</v>
      </c>
    </row>
    <row r="14" ht="20.1" customHeight="1" spans="1:22">
      <c r="A14" s="12" t="s">
        <v>248</v>
      </c>
      <c r="B14" s="11">
        <v>86</v>
      </c>
      <c r="C14" s="11">
        <v>87</v>
      </c>
      <c r="D14" s="11">
        <v>74</v>
      </c>
      <c r="E14" s="11">
        <f t="shared" si="2"/>
        <v>100</v>
      </c>
      <c r="F14" s="11">
        <v>46</v>
      </c>
      <c r="G14" s="11">
        <v>54</v>
      </c>
      <c r="H14" s="11">
        <f t="shared" si="3"/>
        <v>347</v>
      </c>
      <c r="I14" s="10"/>
      <c r="J14" s="10"/>
      <c r="K14" s="10"/>
      <c r="L14" s="10"/>
      <c r="M14" s="10"/>
      <c r="N14" s="10"/>
      <c r="O14" s="10"/>
      <c r="P14" s="10">
        <v>82</v>
      </c>
      <c r="Q14" s="10">
        <v>78</v>
      </c>
      <c r="R14" s="10">
        <v>86</v>
      </c>
      <c r="S14" s="9">
        <f t="shared" si="0"/>
        <v>120</v>
      </c>
      <c r="T14" s="10">
        <v>64</v>
      </c>
      <c r="U14" s="10">
        <v>56</v>
      </c>
      <c r="V14" s="9">
        <f t="shared" si="1"/>
        <v>366</v>
      </c>
    </row>
    <row r="15" ht="20.1" customHeight="1" spans="1:22">
      <c r="A15" s="12" t="s">
        <v>249</v>
      </c>
      <c r="B15" s="11">
        <v>46</v>
      </c>
      <c r="C15" s="11">
        <v>95</v>
      </c>
      <c r="D15" s="11">
        <v>79</v>
      </c>
      <c r="E15" s="11">
        <f t="shared" si="2"/>
        <v>122</v>
      </c>
      <c r="F15" s="11">
        <v>64</v>
      </c>
      <c r="G15" s="11">
        <v>58</v>
      </c>
      <c r="H15" s="11">
        <f t="shared" si="3"/>
        <v>342</v>
      </c>
      <c r="I15" s="9">
        <v>30</v>
      </c>
      <c r="J15" s="9">
        <v>97</v>
      </c>
      <c r="K15" s="9">
        <v>91</v>
      </c>
      <c r="L15" s="9">
        <v>124</v>
      </c>
      <c r="M15" s="9">
        <v>70</v>
      </c>
      <c r="N15" s="9">
        <v>54</v>
      </c>
      <c r="O15" s="9">
        <f t="shared" si="4"/>
        <v>342</v>
      </c>
      <c r="P15" s="9">
        <v>24</v>
      </c>
      <c r="Q15" s="9">
        <v>95</v>
      </c>
      <c r="R15" s="9">
        <v>95</v>
      </c>
      <c r="S15" s="9">
        <f t="shared" si="0"/>
        <v>119</v>
      </c>
      <c r="T15" s="9">
        <v>62</v>
      </c>
      <c r="U15" s="9">
        <v>57</v>
      </c>
      <c r="V15" s="9">
        <f t="shared" si="1"/>
        <v>333</v>
      </c>
    </row>
    <row r="16" ht="20.1" customHeight="1" spans="1:22">
      <c r="A16" s="12" t="s">
        <v>250</v>
      </c>
      <c r="B16" s="11">
        <v>62</v>
      </c>
      <c r="C16" s="11">
        <v>95</v>
      </c>
      <c r="D16" s="11">
        <v>48</v>
      </c>
      <c r="E16" s="11">
        <f t="shared" si="2"/>
        <v>82</v>
      </c>
      <c r="F16" s="11">
        <v>38</v>
      </c>
      <c r="G16" s="11">
        <v>44</v>
      </c>
      <c r="H16" s="11">
        <f t="shared" si="3"/>
        <v>287</v>
      </c>
      <c r="I16" s="10"/>
      <c r="J16" s="10"/>
      <c r="K16" s="10"/>
      <c r="L16" s="10"/>
      <c r="M16" s="10"/>
      <c r="N16" s="9"/>
      <c r="O16" s="9"/>
      <c r="P16" s="10">
        <v>64</v>
      </c>
      <c r="Q16" s="10">
        <v>95</v>
      </c>
      <c r="R16" s="10">
        <v>72</v>
      </c>
      <c r="S16" s="9">
        <f t="shared" si="0"/>
        <v>85</v>
      </c>
      <c r="T16" s="10">
        <v>46</v>
      </c>
      <c r="U16" s="9">
        <v>39</v>
      </c>
      <c r="V16" s="9">
        <f t="shared" si="1"/>
        <v>316</v>
      </c>
    </row>
    <row r="17" ht="20.1" customHeight="1" spans="1:22">
      <c r="A17" s="12" t="s">
        <v>251</v>
      </c>
      <c r="B17" s="11">
        <v>78</v>
      </c>
      <c r="C17" s="11">
        <v>78</v>
      </c>
      <c r="D17" s="11">
        <v>58</v>
      </c>
      <c r="E17" s="11">
        <f t="shared" si="2"/>
        <v>96</v>
      </c>
      <c r="F17" s="11">
        <v>56</v>
      </c>
      <c r="G17" s="11">
        <v>40</v>
      </c>
      <c r="H17" s="11">
        <f t="shared" si="3"/>
        <v>310</v>
      </c>
      <c r="I17" s="10"/>
      <c r="J17" s="10"/>
      <c r="K17" s="10"/>
      <c r="L17" s="10"/>
      <c r="M17" s="10"/>
      <c r="N17" s="9"/>
      <c r="O17" s="9"/>
      <c r="P17" s="10">
        <v>64</v>
      </c>
      <c r="Q17" s="10">
        <v>71</v>
      </c>
      <c r="R17" s="10">
        <v>81</v>
      </c>
      <c r="S17" s="9">
        <f t="shared" si="0"/>
        <v>106</v>
      </c>
      <c r="T17" s="10">
        <v>56</v>
      </c>
      <c r="U17" s="9">
        <v>50</v>
      </c>
      <c r="V17" s="9">
        <f t="shared" si="1"/>
        <v>322</v>
      </c>
    </row>
    <row r="18" ht="20.1" customHeight="1" spans="1:22">
      <c r="A18" s="12" t="s">
        <v>252</v>
      </c>
      <c r="B18" s="11">
        <v>70</v>
      </c>
      <c r="C18" s="11">
        <v>61</v>
      </c>
      <c r="D18" s="11">
        <v>65</v>
      </c>
      <c r="E18" s="11">
        <f t="shared" si="2"/>
        <v>102</v>
      </c>
      <c r="F18" s="11">
        <v>68</v>
      </c>
      <c r="G18" s="11">
        <v>34</v>
      </c>
      <c r="H18" s="11">
        <f t="shared" si="3"/>
        <v>298</v>
      </c>
      <c r="I18" s="9">
        <v>62</v>
      </c>
      <c r="J18" s="9">
        <v>77</v>
      </c>
      <c r="K18" s="9">
        <v>80</v>
      </c>
      <c r="L18" s="9">
        <v>108</v>
      </c>
      <c r="M18" s="9">
        <v>60</v>
      </c>
      <c r="N18" s="9">
        <v>48</v>
      </c>
      <c r="O18" s="9">
        <f t="shared" si="4"/>
        <v>327</v>
      </c>
      <c r="P18" s="9">
        <v>66</v>
      </c>
      <c r="Q18" s="9">
        <v>55</v>
      </c>
      <c r="R18" s="9">
        <v>88</v>
      </c>
      <c r="S18" s="9">
        <f t="shared" si="0"/>
        <v>64</v>
      </c>
      <c r="T18" s="9">
        <v>32</v>
      </c>
      <c r="U18" s="9">
        <v>32</v>
      </c>
      <c r="V18" s="9">
        <f t="shared" si="1"/>
        <v>273</v>
      </c>
    </row>
    <row r="19" ht="20.1" customHeight="1" spans="1:22">
      <c r="A19" s="12" t="s">
        <v>253</v>
      </c>
      <c r="B19" s="11">
        <v>78</v>
      </c>
      <c r="C19" s="11">
        <v>94</v>
      </c>
      <c r="D19" s="11">
        <v>83</v>
      </c>
      <c r="E19" s="11">
        <f t="shared" si="2"/>
        <v>108</v>
      </c>
      <c r="F19" s="11">
        <v>60</v>
      </c>
      <c r="G19" s="11">
        <v>48</v>
      </c>
      <c r="H19" s="11">
        <f t="shared" si="3"/>
        <v>363</v>
      </c>
      <c r="I19" s="9">
        <v>76</v>
      </c>
      <c r="J19" s="9">
        <v>79</v>
      </c>
      <c r="K19" s="9">
        <v>76</v>
      </c>
      <c r="L19" s="9">
        <v>124</v>
      </c>
      <c r="M19" s="9">
        <v>72</v>
      </c>
      <c r="N19" s="9">
        <v>52</v>
      </c>
      <c r="O19" s="9">
        <f t="shared" si="4"/>
        <v>355</v>
      </c>
      <c r="P19" s="9">
        <v>80</v>
      </c>
      <c r="Q19" s="9">
        <v>70</v>
      </c>
      <c r="R19" s="9">
        <v>88</v>
      </c>
      <c r="S19" s="9">
        <f t="shared" si="0"/>
        <v>117</v>
      </c>
      <c r="T19" s="9">
        <v>74</v>
      </c>
      <c r="U19" s="9">
        <v>43</v>
      </c>
      <c r="V19" s="9">
        <f t="shared" si="1"/>
        <v>355</v>
      </c>
    </row>
    <row r="20" ht="20.1" customHeight="1" spans="1:22">
      <c r="A20" s="12" t="s">
        <v>254</v>
      </c>
      <c r="B20" s="10"/>
      <c r="C20" s="10"/>
      <c r="D20" s="10"/>
      <c r="E20" s="10"/>
      <c r="F20" s="10"/>
      <c r="G20" s="10"/>
      <c r="H20" s="10"/>
      <c r="I20" s="9">
        <v>68</v>
      </c>
      <c r="J20" s="9">
        <v>84</v>
      </c>
      <c r="K20" s="9">
        <v>74</v>
      </c>
      <c r="L20" s="9">
        <v>140</v>
      </c>
      <c r="M20" s="9">
        <v>84</v>
      </c>
      <c r="N20" s="9">
        <v>56</v>
      </c>
      <c r="O20" s="9">
        <f t="shared" si="4"/>
        <v>366</v>
      </c>
      <c r="P20" s="10"/>
      <c r="Q20" s="10"/>
      <c r="R20" s="10"/>
      <c r="S20" s="10"/>
      <c r="T20" s="10"/>
      <c r="U20" s="10"/>
      <c r="V20" s="10"/>
    </row>
    <row r="21" ht="20.1" customHeight="1" spans="1:22">
      <c r="A21" s="12" t="s">
        <v>255</v>
      </c>
      <c r="B21" s="11">
        <v>62</v>
      </c>
      <c r="C21" s="11">
        <v>57</v>
      </c>
      <c r="D21" s="11">
        <v>44</v>
      </c>
      <c r="E21" s="11">
        <f t="shared" si="2"/>
        <v>96</v>
      </c>
      <c r="F21" s="11">
        <v>56</v>
      </c>
      <c r="G21" s="11">
        <v>40</v>
      </c>
      <c r="H21" s="11">
        <f t="shared" si="3"/>
        <v>259</v>
      </c>
      <c r="I21" s="9">
        <v>56</v>
      </c>
      <c r="J21" s="9">
        <v>63</v>
      </c>
      <c r="K21" s="9">
        <v>62</v>
      </c>
      <c r="L21" s="9">
        <v>112</v>
      </c>
      <c r="M21" s="9">
        <v>68</v>
      </c>
      <c r="N21" s="9">
        <v>44</v>
      </c>
      <c r="O21" s="9">
        <f t="shared" si="4"/>
        <v>293</v>
      </c>
      <c r="P21" s="10"/>
      <c r="Q21" s="10"/>
      <c r="R21" s="10"/>
      <c r="S21" s="10"/>
      <c r="T21" s="10"/>
      <c r="U21" s="10"/>
      <c r="V21" s="10"/>
    </row>
    <row r="22" ht="20.1" customHeight="1" spans="1:22">
      <c r="A22" s="12" t="s">
        <v>256</v>
      </c>
      <c r="B22" s="11">
        <v>32</v>
      </c>
      <c r="C22" s="11">
        <v>61</v>
      </c>
      <c r="D22" s="11">
        <v>61</v>
      </c>
      <c r="E22" s="11">
        <f t="shared" si="2"/>
        <v>100</v>
      </c>
      <c r="F22" s="11">
        <v>64</v>
      </c>
      <c r="G22" s="11">
        <v>36</v>
      </c>
      <c r="H22" s="11">
        <f t="shared" si="3"/>
        <v>254</v>
      </c>
      <c r="I22" s="9">
        <v>76</v>
      </c>
      <c r="J22" s="9">
        <v>72</v>
      </c>
      <c r="K22" s="9">
        <v>80</v>
      </c>
      <c r="L22" s="9">
        <v>116</v>
      </c>
      <c r="M22" s="9">
        <v>72</v>
      </c>
      <c r="N22" s="9">
        <v>44</v>
      </c>
      <c r="O22" s="9">
        <f t="shared" si="4"/>
        <v>344</v>
      </c>
      <c r="P22" s="9">
        <v>60</v>
      </c>
      <c r="Q22" s="9">
        <v>63</v>
      </c>
      <c r="R22" s="9">
        <v>93</v>
      </c>
      <c r="S22" s="9">
        <f t="shared" si="0"/>
        <v>104</v>
      </c>
      <c r="T22" s="9">
        <v>56</v>
      </c>
      <c r="U22" s="9">
        <v>48</v>
      </c>
      <c r="V22" s="9">
        <f t="shared" si="1"/>
        <v>320</v>
      </c>
    </row>
    <row r="23" ht="20.1" customHeight="1" spans="1:22">
      <c r="A23" s="12" t="s">
        <v>257</v>
      </c>
      <c r="B23" s="11">
        <v>68</v>
      </c>
      <c r="C23" s="11">
        <v>75</v>
      </c>
      <c r="D23" s="11">
        <v>79</v>
      </c>
      <c r="E23" s="11">
        <f t="shared" si="2"/>
        <v>84</v>
      </c>
      <c r="F23" s="11">
        <v>38</v>
      </c>
      <c r="G23" s="11">
        <v>46</v>
      </c>
      <c r="H23" s="11">
        <f t="shared" si="3"/>
        <v>306</v>
      </c>
      <c r="I23" s="9">
        <v>60</v>
      </c>
      <c r="J23" s="9">
        <v>71</v>
      </c>
      <c r="K23" s="9">
        <v>63</v>
      </c>
      <c r="L23" s="9">
        <v>120</v>
      </c>
      <c r="M23" s="9">
        <v>74</v>
      </c>
      <c r="N23" s="9">
        <v>46</v>
      </c>
      <c r="O23" s="9">
        <f t="shared" si="4"/>
        <v>314</v>
      </c>
      <c r="P23" s="10"/>
      <c r="Q23" s="10"/>
      <c r="R23" s="10"/>
      <c r="S23" s="10"/>
      <c r="T23" s="10"/>
      <c r="U23" s="10"/>
      <c r="V23" s="10"/>
    </row>
    <row r="24" ht="20.1" customHeight="1" spans="1:22">
      <c r="A24" s="12" t="s">
        <v>258</v>
      </c>
      <c r="B24" s="11">
        <v>64</v>
      </c>
      <c r="C24" s="11">
        <v>64</v>
      </c>
      <c r="D24" s="11">
        <v>55</v>
      </c>
      <c r="E24" s="11">
        <f t="shared" si="2"/>
        <v>122</v>
      </c>
      <c r="F24" s="11">
        <v>76</v>
      </c>
      <c r="G24" s="11">
        <v>46</v>
      </c>
      <c r="H24" s="11">
        <f t="shared" si="3"/>
        <v>305</v>
      </c>
      <c r="I24" s="9">
        <v>56</v>
      </c>
      <c r="J24" s="9">
        <v>78</v>
      </c>
      <c r="K24" s="9">
        <v>64</v>
      </c>
      <c r="L24" s="9">
        <v>128</v>
      </c>
      <c r="M24" s="9">
        <v>74</v>
      </c>
      <c r="N24" s="9">
        <v>54</v>
      </c>
      <c r="O24" s="9">
        <f t="shared" si="4"/>
        <v>326</v>
      </c>
      <c r="P24" s="9">
        <v>62</v>
      </c>
      <c r="Q24" s="9">
        <v>70</v>
      </c>
      <c r="R24" s="9">
        <v>94</v>
      </c>
      <c r="S24" s="9">
        <f t="shared" si="0"/>
        <v>114</v>
      </c>
      <c r="T24" s="9">
        <v>64</v>
      </c>
      <c r="U24" s="9">
        <v>50</v>
      </c>
      <c r="V24" s="9">
        <f t="shared" si="1"/>
        <v>340</v>
      </c>
    </row>
    <row r="25" ht="20.1" customHeight="1" spans="1:22">
      <c r="A25" s="12" t="s">
        <v>259</v>
      </c>
      <c r="B25" s="11">
        <v>82</v>
      </c>
      <c r="C25" s="11">
        <v>66</v>
      </c>
      <c r="D25" s="11">
        <v>68</v>
      </c>
      <c r="E25" s="11">
        <f t="shared" si="2"/>
        <v>100</v>
      </c>
      <c r="F25" s="11">
        <v>54</v>
      </c>
      <c r="G25" s="11">
        <v>46</v>
      </c>
      <c r="H25" s="11">
        <f t="shared" si="3"/>
        <v>316</v>
      </c>
      <c r="I25" s="9">
        <v>78</v>
      </c>
      <c r="J25" s="9">
        <v>75</v>
      </c>
      <c r="K25" s="9">
        <v>79</v>
      </c>
      <c r="L25" s="9">
        <v>136</v>
      </c>
      <c r="M25" s="9">
        <v>78</v>
      </c>
      <c r="N25" s="9">
        <v>58</v>
      </c>
      <c r="O25" s="9">
        <f t="shared" si="4"/>
        <v>368</v>
      </c>
      <c r="P25" s="9">
        <v>98</v>
      </c>
      <c r="Q25" s="9">
        <v>54</v>
      </c>
      <c r="R25" s="9">
        <v>97</v>
      </c>
      <c r="S25" s="9">
        <f t="shared" si="0"/>
        <v>115</v>
      </c>
      <c r="T25" s="9">
        <v>68</v>
      </c>
      <c r="U25" s="9">
        <v>47</v>
      </c>
      <c r="V25" s="9">
        <f t="shared" si="1"/>
        <v>364</v>
      </c>
    </row>
    <row r="26" ht="20.1" customHeight="1" spans="1:22">
      <c r="A26" s="12" t="s">
        <v>260</v>
      </c>
      <c r="B26" s="11">
        <v>54</v>
      </c>
      <c r="C26" s="11">
        <v>63</v>
      </c>
      <c r="D26" s="11">
        <v>66</v>
      </c>
      <c r="E26" s="11">
        <f t="shared" si="2"/>
        <v>92</v>
      </c>
      <c r="F26" s="11">
        <v>58</v>
      </c>
      <c r="G26" s="11">
        <v>34</v>
      </c>
      <c r="H26" s="11">
        <f t="shared" si="3"/>
        <v>275</v>
      </c>
      <c r="I26" s="10"/>
      <c r="J26" s="10"/>
      <c r="K26" s="10"/>
      <c r="L26" s="10"/>
      <c r="M26" s="10"/>
      <c r="N26" s="9"/>
      <c r="O26" s="9"/>
      <c r="P26" s="10">
        <v>66</v>
      </c>
      <c r="Q26" s="10">
        <v>85</v>
      </c>
      <c r="R26" s="10">
        <v>97</v>
      </c>
      <c r="S26" s="9">
        <f t="shared" ref="S26:S49" si="5">U26+T26</f>
        <v>102</v>
      </c>
      <c r="T26" s="10">
        <v>46</v>
      </c>
      <c r="U26" s="9">
        <v>56</v>
      </c>
      <c r="V26" s="9">
        <f t="shared" ref="V26:V49" si="6">S26+R26+Q26+P26</f>
        <v>350</v>
      </c>
    </row>
    <row r="27" ht="20.1" customHeight="1" spans="1:22">
      <c r="A27" s="12" t="s">
        <v>261</v>
      </c>
      <c r="B27" s="11">
        <v>66</v>
      </c>
      <c r="C27" s="11">
        <v>81</v>
      </c>
      <c r="D27" s="11">
        <v>51</v>
      </c>
      <c r="E27" s="11">
        <f t="shared" si="2"/>
        <v>114</v>
      </c>
      <c r="F27" s="11">
        <v>60</v>
      </c>
      <c r="G27" s="11">
        <v>54</v>
      </c>
      <c r="H27" s="11">
        <f t="shared" si="3"/>
        <v>312</v>
      </c>
      <c r="I27" s="9">
        <v>54</v>
      </c>
      <c r="J27" s="9">
        <v>90</v>
      </c>
      <c r="K27" s="9">
        <v>81</v>
      </c>
      <c r="L27" s="9">
        <v>114</v>
      </c>
      <c r="M27" s="9">
        <v>64</v>
      </c>
      <c r="N27" s="9">
        <v>50</v>
      </c>
      <c r="O27" s="9">
        <f t="shared" si="4"/>
        <v>339</v>
      </c>
      <c r="P27" s="9">
        <v>84</v>
      </c>
      <c r="Q27" s="9">
        <v>70</v>
      </c>
      <c r="R27" s="9">
        <v>92</v>
      </c>
      <c r="S27" s="9">
        <f t="shared" si="5"/>
        <v>100</v>
      </c>
      <c r="T27" s="9">
        <v>44</v>
      </c>
      <c r="U27" s="9">
        <v>56</v>
      </c>
      <c r="V27" s="9">
        <f t="shared" si="6"/>
        <v>346</v>
      </c>
    </row>
    <row r="28" ht="20.1" customHeight="1" spans="1:22">
      <c r="A28" s="12" t="s">
        <v>262</v>
      </c>
      <c r="B28" s="11">
        <v>94</v>
      </c>
      <c r="C28" s="11">
        <v>92</v>
      </c>
      <c r="D28" s="11">
        <v>85</v>
      </c>
      <c r="E28" s="11">
        <f t="shared" si="2"/>
        <v>136</v>
      </c>
      <c r="F28" s="11">
        <v>78</v>
      </c>
      <c r="G28" s="11">
        <v>58</v>
      </c>
      <c r="H28" s="11">
        <f t="shared" si="3"/>
        <v>407</v>
      </c>
      <c r="I28" s="9">
        <v>84</v>
      </c>
      <c r="J28" s="9">
        <v>96</v>
      </c>
      <c r="K28" s="9">
        <v>77</v>
      </c>
      <c r="L28" s="9">
        <v>130</v>
      </c>
      <c r="M28" s="9">
        <v>76</v>
      </c>
      <c r="N28" s="9">
        <v>54</v>
      </c>
      <c r="O28" s="9">
        <f t="shared" si="4"/>
        <v>387</v>
      </c>
      <c r="P28" s="9">
        <v>92</v>
      </c>
      <c r="Q28" s="9">
        <v>97</v>
      </c>
      <c r="R28" s="9">
        <v>88</v>
      </c>
      <c r="S28" s="9">
        <f t="shared" si="5"/>
        <v>115</v>
      </c>
      <c r="T28" s="9">
        <v>58</v>
      </c>
      <c r="U28" s="9">
        <v>57</v>
      </c>
      <c r="V28" s="9">
        <f t="shared" si="6"/>
        <v>392</v>
      </c>
    </row>
    <row r="29" ht="20.1" customHeight="1" spans="1:22">
      <c r="A29" s="12" t="s">
        <v>263</v>
      </c>
      <c r="B29" s="11">
        <v>88</v>
      </c>
      <c r="C29" s="11">
        <v>52</v>
      </c>
      <c r="D29" s="11">
        <v>79</v>
      </c>
      <c r="E29" s="11">
        <f t="shared" si="2"/>
        <v>126</v>
      </c>
      <c r="F29" s="11">
        <v>68</v>
      </c>
      <c r="G29" s="11">
        <v>58</v>
      </c>
      <c r="H29" s="11">
        <f t="shared" si="3"/>
        <v>345</v>
      </c>
      <c r="I29" s="9">
        <v>84</v>
      </c>
      <c r="J29" s="9">
        <v>63</v>
      </c>
      <c r="K29" s="9">
        <v>68</v>
      </c>
      <c r="L29" s="9">
        <v>136</v>
      </c>
      <c r="M29" s="9">
        <v>76</v>
      </c>
      <c r="N29" s="9">
        <v>60</v>
      </c>
      <c r="O29" s="9">
        <f t="shared" si="4"/>
        <v>351</v>
      </c>
      <c r="P29" s="9">
        <v>82</v>
      </c>
      <c r="Q29" s="9">
        <v>50</v>
      </c>
      <c r="R29" s="9">
        <v>74</v>
      </c>
      <c r="S29" s="9">
        <f t="shared" si="5"/>
        <v>101</v>
      </c>
      <c r="T29" s="9">
        <v>44</v>
      </c>
      <c r="U29" s="9">
        <v>57</v>
      </c>
      <c r="V29" s="9">
        <f t="shared" si="6"/>
        <v>307</v>
      </c>
    </row>
    <row r="30" ht="20.1" customHeight="1" spans="1:22">
      <c r="A30" s="12" t="s">
        <v>264</v>
      </c>
      <c r="B30" s="11">
        <v>86</v>
      </c>
      <c r="C30" s="11">
        <v>94</v>
      </c>
      <c r="D30" s="11">
        <v>85</v>
      </c>
      <c r="E30" s="11">
        <f t="shared" si="2"/>
        <v>116</v>
      </c>
      <c r="F30" s="11">
        <v>56</v>
      </c>
      <c r="G30" s="11">
        <v>60</v>
      </c>
      <c r="H30" s="11">
        <f t="shared" si="3"/>
        <v>381</v>
      </c>
      <c r="I30" s="10"/>
      <c r="J30" s="10"/>
      <c r="K30" s="10"/>
      <c r="L30" s="10"/>
      <c r="M30" s="10"/>
      <c r="N30" s="9"/>
      <c r="O30" s="9"/>
      <c r="P30" s="10"/>
      <c r="Q30" s="10"/>
      <c r="R30" s="10"/>
      <c r="S30" s="10"/>
      <c r="T30" s="10"/>
      <c r="U30" s="10"/>
      <c r="V30" s="10"/>
    </row>
    <row r="31" ht="20.1" customHeight="1" spans="1:22">
      <c r="A31" s="12" t="s">
        <v>265</v>
      </c>
      <c r="B31" s="11">
        <v>78</v>
      </c>
      <c r="C31" s="11">
        <v>92</v>
      </c>
      <c r="D31" s="11">
        <v>68</v>
      </c>
      <c r="E31" s="11">
        <f t="shared" si="2"/>
        <v>110</v>
      </c>
      <c r="F31" s="11">
        <v>60</v>
      </c>
      <c r="G31" s="11">
        <v>50</v>
      </c>
      <c r="H31" s="11">
        <f t="shared" si="3"/>
        <v>348</v>
      </c>
      <c r="I31" s="9">
        <v>58</v>
      </c>
      <c r="J31" s="9">
        <v>90</v>
      </c>
      <c r="K31" s="9">
        <v>78</v>
      </c>
      <c r="L31" s="9">
        <v>102</v>
      </c>
      <c r="M31" s="9">
        <v>54</v>
      </c>
      <c r="N31" s="9">
        <v>48</v>
      </c>
      <c r="O31" s="9">
        <f t="shared" si="4"/>
        <v>328</v>
      </c>
      <c r="P31" s="10"/>
      <c r="Q31" s="10"/>
      <c r="R31" s="10"/>
      <c r="S31" s="10"/>
      <c r="T31" s="10"/>
      <c r="U31" s="10"/>
      <c r="V31" s="10"/>
    </row>
    <row r="32" ht="20.1" customHeight="1" spans="1:22">
      <c r="A32" s="12" t="s">
        <v>266</v>
      </c>
      <c r="B32" s="11">
        <v>88</v>
      </c>
      <c r="C32" s="11">
        <v>92</v>
      </c>
      <c r="D32" s="11">
        <v>89</v>
      </c>
      <c r="E32" s="11">
        <f t="shared" si="2"/>
        <v>144</v>
      </c>
      <c r="F32" s="11">
        <v>84</v>
      </c>
      <c r="G32" s="11">
        <v>60</v>
      </c>
      <c r="H32" s="11">
        <f t="shared" si="3"/>
        <v>413</v>
      </c>
      <c r="I32" s="10"/>
      <c r="J32" s="10"/>
      <c r="K32" s="10"/>
      <c r="L32" s="10"/>
      <c r="M32" s="10"/>
      <c r="N32" s="9"/>
      <c r="O32" s="9"/>
      <c r="P32" s="10">
        <v>96</v>
      </c>
      <c r="Q32" s="10">
        <v>94</v>
      </c>
      <c r="R32" s="10">
        <v>94</v>
      </c>
      <c r="S32" s="9">
        <f t="shared" si="5"/>
        <v>143</v>
      </c>
      <c r="T32" s="10">
        <v>88</v>
      </c>
      <c r="U32" s="9">
        <v>55</v>
      </c>
      <c r="V32" s="9">
        <f t="shared" si="6"/>
        <v>427</v>
      </c>
    </row>
    <row r="33" ht="20.1" customHeight="1" spans="1:22">
      <c r="A33" s="12" t="s">
        <v>267</v>
      </c>
      <c r="B33" s="11">
        <v>54</v>
      </c>
      <c r="C33" s="11">
        <v>63</v>
      </c>
      <c r="D33" s="11">
        <v>67</v>
      </c>
      <c r="E33" s="11">
        <f t="shared" si="2"/>
        <v>92</v>
      </c>
      <c r="F33" s="11">
        <v>52</v>
      </c>
      <c r="G33" s="11">
        <v>40</v>
      </c>
      <c r="H33" s="11">
        <f t="shared" si="3"/>
        <v>276</v>
      </c>
      <c r="I33" s="10"/>
      <c r="J33" s="10"/>
      <c r="K33" s="10"/>
      <c r="L33" s="10"/>
      <c r="M33" s="10"/>
      <c r="N33" s="9"/>
      <c r="O33" s="9"/>
      <c r="P33" s="10">
        <v>80</v>
      </c>
      <c r="Q33" s="10">
        <v>88</v>
      </c>
      <c r="R33" s="10">
        <v>92</v>
      </c>
      <c r="S33" s="10">
        <v>0</v>
      </c>
      <c r="T33" s="10">
        <v>0</v>
      </c>
      <c r="U33" s="10">
        <v>0</v>
      </c>
      <c r="V33" s="9">
        <f t="shared" si="6"/>
        <v>260</v>
      </c>
    </row>
    <row r="34" ht="20.1" customHeight="1" spans="1:22">
      <c r="A34" s="12" t="s">
        <v>268</v>
      </c>
      <c r="B34" s="11">
        <v>74</v>
      </c>
      <c r="C34" s="11">
        <v>95</v>
      </c>
      <c r="D34" s="11">
        <v>89</v>
      </c>
      <c r="E34" s="11">
        <f t="shared" si="2"/>
        <v>132</v>
      </c>
      <c r="F34" s="11">
        <v>76</v>
      </c>
      <c r="G34" s="11">
        <v>56</v>
      </c>
      <c r="H34" s="11">
        <f t="shared" si="3"/>
        <v>390</v>
      </c>
      <c r="I34" s="10"/>
      <c r="J34" s="10"/>
      <c r="K34" s="10"/>
      <c r="L34" s="10"/>
      <c r="M34" s="10"/>
      <c r="N34" s="9"/>
      <c r="O34" s="9"/>
      <c r="P34" s="10">
        <v>94</v>
      </c>
      <c r="Q34" s="10">
        <v>97</v>
      </c>
      <c r="R34" s="10">
        <v>92</v>
      </c>
      <c r="S34" s="9">
        <f t="shared" si="5"/>
        <v>128</v>
      </c>
      <c r="T34" s="10">
        <v>68</v>
      </c>
      <c r="U34" s="9">
        <v>60</v>
      </c>
      <c r="V34" s="9">
        <f t="shared" si="6"/>
        <v>411</v>
      </c>
    </row>
    <row r="35" ht="20.1" customHeight="1" spans="1:22">
      <c r="A35" s="12" t="s">
        <v>269</v>
      </c>
      <c r="B35" s="11">
        <v>88</v>
      </c>
      <c r="C35" s="11">
        <v>90</v>
      </c>
      <c r="D35" s="11">
        <v>69</v>
      </c>
      <c r="E35" s="11">
        <f t="shared" si="2"/>
        <v>126</v>
      </c>
      <c r="F35" s="11">
        <v>66</v>
      </c>
      <c r="G35" s="11">
        <v>60</v>
      </c>
      <c r="H35" s="11">
        <f t="shared" si="3"/>
        <v>373</v>
      </c>
      <c r="I35" s="9">
        <v>72</v>
      </c>
      <c r="J35" s="9">
        <v>96</v>
      </c>
      <c r="K35" s="9">
        <v>91</v>
      </c>
      <c r="L35" s="9">
        <v>136</v>
      </c>
      <c r="M35" s="9">
        <v>82</v>
      </c>
      <c r="N35" s="9">
        <v>54</v>
      </c>
      <c r="O35" s="9">
        <f t="shared" si="4"/>
        <v>395</v>
      </c>
      <c r="P35" s="9">
        <v>86</v>
      </c>
      <c r="Q35" s="9">
        <v>92</v>
      </c>
      <c r="R35" s="9">
        <v>89</v>
      </c>
      <c r="S35" s="9">
        <f t="shared" si="5"/>
        <v>106</v>
      </c>
      <c r="T35" s="9">
        <v>66</v>
      </c>
      <c r="U35" s="9">
        <v>40</v>
      </c>
      <c r="V35" s="9">
        <f t="shared" si="6"/>
        <v>373</v>
      </c>
    </row>
    <row r="36" ht="20.1" customHeight="1" spans="1:22">
      <c r="A36" s="12" t="s">
        <v>270</v>
      </c>
      <c r="B36" s="11">
        <v>38</v>
      </c>
      <c r="C36" s="11">
        <v>63</v>
      </c>
      <c r="D36" s="11">
        <v>55</v>
      </c>
      <c r="E36" s="11">
        <f t="shared" si="2"/>
        <v>114</v>
      </c>
      <c r="F36" s="11">
        <v>72</v>
      </c>
      <c r="G36" s="11">
        <v>42</v>
      </c>
      <c r="H36" s="11">
        <f t="shared" si="3"/>
        <v>270</v>
      </c>
      <c r="I36" s="9">
        <v>54</v>
      </c>
      <c r="J36" s="9">
        <v>72</v>
      </c>
      <c r="K36" s="9">
        <v>58</v>
      </c>
      <c r="L36" s="9">
        <v>56</v>
      </c>
      <c r="M36" s="9">
        <v>26</v>
      </c>
      <c r="N36" s="9">
        <v>30</v>
      </c>
      <c r="O36" s="9">
        <f t="shared" si="4"/>
        <v>240</v>
      </c>
      <c r="P36" s="9">
        <v>64</v>
      </c>
      <c r="Q36" s="9">
        <v>84</v>
      </c>
      <c r="R36" s="9">
        <v>97</v>
      </c>
      <c r="S36" s="9">
        <f t="shared" si="5"/>
        <v>101</v>
      </c>
      <c r="T36" s="9">
        <v>50</v>
      </c>
      <c r="U36" s="9">
        <v>51</v>
      </c>
      <c r="V36" s="9">
        <f t="shared" si="6"/>
        <v>346</v>
      </c>
    </row>
    <row r="37" ht="20.1" customHeight="1" spans="1:22">
      <c r="A37" s="12" t="s">
        <v>271</v>
      </c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9"/>
      <c r="O37" s="9"/>
      <c r="P37" s="10">
        <v>66</v>
      </c>
      <c r="Q37" s="10">
        <v>63</v>
      </c>
      <c r="R37" s="10">
        <v>86</v>
      </c>
      <c r="S37" s="9">
        <f t="shared" si="5"/>
        <v>103</v>
      </c>
      <c r="T37" s="10">
        <v>52</v>
      </c>
      <c r="U37" s="9">
        <v>51</v>
      </c>
      <c r="V37" s="9">
        <f t="shared" si="6"/>
        <v>318</v>
      </c>
    </row>
    <row r="38" ht="20.1" customHeight="1" spans="1:22">
      <c r="A38" s="12" t="s">
        <v>272</v>
      </c>
      <c r="B38" s="11">
        <v>70</v>
      </c>
      <c r="C38" s="11">
        <v>35</v>
      </c>
      <c r="D38" s="11">
        <v>67</v>
      </c>
      <c r="E38" s="11">
        <f t="shared" si="2"/>
        <v>134</v>
      </c>
      <c r="F38" s="11">
        <v>74</v>
      </c>
      <c r="G38" s="11">
        <v>60</v>
      </c>
      <c r="H38" s="11">
        <f t="shared" si="3"/>
        <v>306</v>
      </c>
      <c r="I38" s="10"/>
      <c r="J38" s="10"/>
      <c r="K38" s="10"/>
      <c r="L38" s="10"/>
      <c r="M38" s="10"/>
      <c r="N38" s="9"/>
      <c r="O38" s="9"/>
      <c r="P38" s="10"/>
      <c r="Q38" s="10"/>
      <c r="R38" s="10"/>
      <c r="S38" s="10"/>
      <c r="T38" s="10"/>
      <c r="U38" s="10"/>
      <c r="V38" s="9"/>
    </row>
    <row r="39" ht="20.1" customHeight="1" spans="1:22">
      <c r="A39" s="12" t="s">
        <v>273</v>
      </c>
      <c r="B39" s="11">
        <v>86</v>
      </c>
      <c r="C39" s="11">
        <v>63</v>
      </c>
      <c r="D39" s="11">
        <v>64</v>
      </c>
      <c r="E39" s="11">
        <f t="shared" si="2"/>
        <v>84</v>
      </c>
      <c r="F39" s="11">
        <v>42</v>
      </c>
      <c r="G39" s="11">
        <v>42</v>
      </c>
      <c r="H39" s="11">
        <f t="shared" si="3"/>
        <v>297</v>
      </c>
      <c r="I39" s="10"/>
      <c r="J39" s="10"/>
      <c r="K39" s="10"/>
      <c r="L39" s="10"/>
      <c r="M39" s="10"/>
      <c r="N39" s="9"/>
      <c r="O39" s="9"/>
      <c r="P39" s="10"/>
      <c r="Q39" s="10"/>
      <c r="R39" s="10"/>
      <c r="S39" s="10"/>
      <c r="T39" s="10"/>
      <c r="U39" s="10"/>
      <c r="V39" s="9"/>
    </row>
    <row r="40" ht="20.1" customHeight="1" spans="1:22">
      <c r="A40" s="12" t="s">
        <v>27</v>
      </c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9"/>
      <c r="O40" s="9"/>
      <c r="P40" s="10">
        <v>82</v>
      </c>
      <c r="Q40" s="10">
        <v>85</v>
      </c>
      <c r="R40" s="10">
        <v>83</v>
      </c>
      <c r="S40" s="9">
        <f t="shared" si="5"/>
        <v>63</v>
      </c>
      <c r="T40" s="10">
        <v>32</v>
      </c>
      <c r="U40" s="9">
        <v>31</v>
      </c>
      <c r="V40" s="9">
        <f t="shared" si="6"/>
        <v>313</v>
      </c>
    </row>
    <row r="41" ht="20.1" customHeight="1" spans="1:22">
      <c r="A41" s="12" t="s">
        <v>274</v>
      </c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9"/>
      <c r="O41" s="9"/>
      <c r="P41" s="10"/>
      <c r="Q41" s="10"/>
      <c r="R41" s="10"/>
      <c r="S41" s="10"/>
      <c r="T41" s="10"/>
      <c r="U41" s="10"/>
      <c r="V41" s="9"/>
    </row>
    <row r="42" ht="20.1" customHeight="1" spans="1:22">
      <c r="A42" s="12" t="s">
        <v>275</v>
      </c>
      <c r="B42" s="11">
        <v>80</v>
      </c>
      <c r="C42" s="11">
        <v>94</v>
      </c>
      <c r="D42" s="11">
        <v>79</v>
      </c>
      <c r="E42" s="11">
        <f>F42+G42</f>
        <v>110</v>
      </c>
      <c r="F42" s="10">
        <v>60</v>
      </c>
      <c r="G42" s="10">
        <v>50</v>
      </c>
      <c r="H42" s="11">
        <f>B42+C42+D42+E42</f>
        <v>363</v>
      </c>
      <c r="I42" s="9">
        <v>74</v>
      </c>
      <c r="J42" s="9">
        <v>83</v>
      </c>
      <c r="K42" s="9">
        <v>81</v>
      </c>
      <c r="L42" s="9">
        <v>110</v>
      </c>
      <c r="M42" s="9">
        <v>64</v>
      </c>
      <c r="N42" s="9">
        <v>46</v>
      </c>
      <c r="O42" s="9">
        <f t="shared" si="4"/>
        <v>348</v>
      </c>
      <c r="P42" s="9">
        <v>86</v>
      </c>
      <c r="Q42" s="9">
        <v>71</v>
      </c>
      <c r="R42" s="9">
        <v>92</v>
      </c>
      <c r="S42" s="9">
        <f t="shared" si="5"/>
        <v>112</v>
      </c>
      <c r="T42" s="9">
        <v>56</v>
      </c>
      <c r="U42" s="9">
        <v>56</v>
      </c>
      <c r="V42" s="9">
        <f t="shared" si="6"/>
        <v>361</v>
      </c>
    </row>
    <row r="43" ht="20.1" customHeight="1" spans="1:22">
      <c r="A43" s="10" t="s">
        <v>276</v>
      </c>
      <c r="B43" s="11">
        <v>52</v>
      </c>
      <c r="C43" s="11">
        <v>31</v>
      </c>
      <c r="D43" s="11">
        <v>70</v>
      </c>
      <c r="E43" s="11">
        <f t="shared" si="2"/>
        <v>98</v>
      </c>
      <c r="F43" s="11">
        <v>46</v>
      </c>
      <c r="G43" s="11">
        <v>52</v>
      </c>
      <c r="H43" s="11">
        <f t="shared" si="3"/>
        <v>251</v>
      </c>
      <c r="I43" s="10"/>
      <c r="J43" s="10"/>
      <c r="K43" s="10"/>
      <c r="L43" s="10"/>
      <c r="M43" s="10"/>
      <c r="N43" s="9"/>
      <c r="O43" s="9"/>
      <c r="P43" s="10">
        <v>68</v>
      </c>
      <c r="Q43" s="10">
        <v>48</v>
      </c>
      <c r="R43" s="10">
        <v>89</v>
      </c>
      <c r="S43" s="9">
        <f t="shared" si="5"/>
        <v>101</v>
      </c>
      <c r="T43" s="10">
        <v>44</v>
      </c>
      <c r="U43" s="9">
        <v>57</v>
      </c>
      <c r="V43" s="9">
        <f t="shared" si="6"/>
        <v>306</v>
      </c>
    </row>
    <row r="44" ht="15" spans="1:22">
      <c r="A44" s="13" t="s">
        <v>277</v>
      </c>
      <c r="B44" s="11">
        <v>56</v>
      </c>
      <c r="C44" s="11">
        <v>58</v>
      </c>
      <c r="D44" s="11">
        <v>62</v>
      </c>
      <c r="E44" s="11">
        <f t="shared" si="2"/>
        <v>92</v>
      </c>
      <c r="F44" s="11">
        <v>40</v>
      </c>
      <c r="G44" s="11">
        <v>52</v>
      </c>
      <c r="H44" s="11">
        <f t="shared" si="3"/>
        <v>268</v>
      </c>
      <c r="I44" s="10"/>
      <c r="J44" s="10"/>
      <c r="K44" s="10"/>
      <c r="L44" s="10"/>
      <c r="M44" s="10"/>
      <c r="N44" s="9"/>
      <c r="O44" s="9"/>
      <c r="P44" s="10"/>
      <c r="Q44" s="10"/>
      <c r="R44" s="10"/>
      <c r="S44" s="10"/>
      <c r="T44" s="10"/>
      <c r="U44" s="10"/>
      <c r="V44" s="9"/>
    </row>
    <row r="45" ht="15" spans="1:22">
      <c r="A45" s="14" t="s">
        <v>278</v>
      </c>
      <c r="B45" s="11">
        <v>70</v>
      </c>
      <c r="C45" s="11">
        <v>37</v>
      </c>
      <c r="D45" s="11">
        <v>56</v>
      </c>
      <c r="E45" s="11">
        <f t="shared" si="2"/>
        <v>112</v>
      </c>
      <c r="F45" s="11">
        <v>64</v>
      </c>
      <c r="G45" s="11">
        <v>48</v>
      </c>
      <c r="H45" s="11">
        <f t="shared" si="3"/>
        <v>275</v>
      </c>
      <c r="I45" s="9">
        <v>66</v>
      </c>
      <c r="J45" s="9">
        <v>38</v>
      </c>
      <c r="K45" s="9">
        <v>75</v>
      </c>
      <c r="L45" s="9">
        <v>116</v>
      </c>
      <c r="M45" s="9">
        <v>56</v>
      </c>
      <c r="N45" s="9">
        <v>60</v>
      </c>
      <c r="O45" s="9">
        <f t="shared" si="4"/>
        <v>295</v>
      </c>
      <c r="P45" s="9"/>
      <c r="Q45" s="9"/>
      <c r="R45" s="9"/>
      <c r="S45" s="9"/>
      <c r="T45" s="9"/>
      <c r="U45" s="9"/>
      <c r="V45" s="9"/>
    </row>
    <row r="46" ht="15" spans="1:22">
      <c r="A46" s="13" t="s">
        <v>279</v>
      </c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9"/>
      <c r="O46" s="9"/>
      <c r="P46" s="10"/>
      <c r="Q46" s="10"/>
      <c r="R46" s="10"/>
      <c r="S46" s="10"/>
      <c r="T46" s="10"/>
      <c r="U46" s="10"/>
      <c r="V46" s="9"/>
    </row>
    <row r="47" spans="1:22">
      <c r="A47" s="11" t="s">
        <v>280</v>
      </c>
      <c r="B47" s="15">
        <v>78</v>
      </c>
      <c r="C47" s="11">
        <v>84</v>
      </c>
      <c r="D47" s="11">
        <v>71</v>
      </c>
      <c r="E47" s="11">
        <f t="shared" si="2"/>
        <v>82</v>
      </c>
      <c r="F47" s="11">
        <v>50</v>
      </c>
      <c r="G47" s="11">
        <v>32</v>
      </c>
      <c r="H47" s="11">
        <f t="shared" si="3"/>
        <v>315</v>
      </c>
      <c r="I47" s="9">
        <v>78</v>
      </c>
      <c r="J47" s="9">
        <v>90</v>
      </c>
      <c r="K47" s="9">
        <v>65</v>
      </c>
      <c r="L47" s="9">
        <v>106</v>
      </c>
      <c r="M47" s="9">
        <v>46</v>
      </c>
      <c r="N47" s="9">
        <v>60</v>
      </c>
      <c r="O47" s="9">
        <f t="shared" si="4"/>
        <v>339</v>
      </c>
      <c r="P47" s="9"/>
      <c r="Q47" s="9"/>
      <c r="R47" s="9"/>
      <c r="S47" s="9"/>
      <c r="T47" s="9"/>
      <c r="U47" s="9"/>
      <c r="V47" s="9"/>
    </row>
    <row r="48" spans="1:22">
      <c r="A48" s="11" t="s">
        <v>281</v>
      </c>
      <c r="B48" s="15">
        <v>78</v>
      </c>
      <c r="C48" s="11">
        <v>94</v>
      </c>
      <c r="D48" s="11">
        <v>71</v>
      </c>
      <c r="E48" s="11">
        <f t="shared" si="2"/>
        <v>126</v>
      </c>
      <c r="F48" s="11">
        <v>70</v>
      </c>
      <c r="G48" s="11">
        <v>56</v>
      </c>
      <c r="H48" s="11">
        <f t="shared" si="3"/>
        <v>369</v>
      </c>
      <c r="I48" s="9">
        <v>86</v>
      </c>
      <c r="J48" s="9">
        <v>96</v>
      </c>
      <c r="K48" s="9">
        <v>71</v>
      </c>
      <c r="L48" s="9">
        <v>126</v>
      </c>
      <c r="M48" s="9">
        <v>82</v>
      </c>
      <c r="N48" s="9">
        <v>44</v>
      </c>
      <c r="O48" s="9">
        <f t="shared" si="4"/>
        <v>379</v>
      </c>
      <c r="P48" s="9">
        <v>88</v>
      </c>
      <c r="Q48" s="9">
        <v>72</v>
      </c>
      <c r="R48" s="9">
        <v>89</v>
      </c>
      <c r="S48" s="9">
        <f t="shared" si="5"/>
        <v>114</v>
      </c>
      <c r="T48" s="9">
        <v>60</v>
      </c>
      <c r="U48" s="9">
        <v>54</v>
      </c>
      <c r="V48" s="9">
        <f t="shared" si="6"/>
        <v>363</v>
      </c>
    </row>
    <row r="49" spans="1:22">
      <c r="A49" s="11" t="s">
        <v>282</v>
      </c>
      <c r="B49" s="15">
        <v>76</v>
      </c>
      <c r="C49" s="11">
        <v>97</v>
      </c>
      <c r="D49" s="11">
        <v>77</v>
      </c>
      <c r="E49" s="11">
        <f t="shared" si="2"/>
        <v>126</v>
      </c>
      <c r="F49" s="11">
        <v>70</v>
      </c>
      <c r="G49" s="11">
        <v>56</v>
      </c>
      <c r="H49" s="11">
        <f t="shared" si="3"/>
        <v>376</v>
      </c>
      <c r="I49" s="9">
        <v>76</v>
      </c>
      <c r="J49" s="9">
        <v>78</v>
      </c>
      <c r="K49" s="9">
        <v>77</v>
      </c>
      <c r="L49" s="9">
        <v>130</v>
      </c>
      <c r="M49" s="9">
        <v>80</v>
      </c>
      <c r="N49" s="9">
        <v>50</v>
      </c>
      <c r="O49" s="9">
        <f t="shared" si="4"/>
        <v>361</v>
      </c>
      <c r="P49" s="9">
        <v>88</v>
      </c>
      <c r="Q49" s="9">
        <v>70</v>
      </c>
      <c r="R49" s="9">
        <v>80</v>
      </c>
      <c r="S49" s="9">
        <f t="shared" si="5"/>
        <v>135</v>
      </c>
      <c r="T49" s="9">
        <v>72</v>
      </c>
      <c r="U49" s="9">
        <v>63</v>
      </c>
      <c r="V49" s="9">
        <f t="shared" si="6"/>
        <v>373</v>
      </c>
    </row>
  </sheetData>
  <sheetProtection formatCells="0" formatColumns="0" formatRows="0" insertRows="0" insertColumns="0" insertHyperlinks="0" deleteColumns="0" deleteRows="0" sort="0" autoFilter="0" pivotTables="0"/>
  <mergeCells count="3">
    <mergeCell ref="B1:H1"/>
    <mergeCell ref="I1:O1"/>
    <mergeCell ref="P1:V1"/>
  </mergeCells>
  <pageMargins left="0.75" right="0.75" top="1" bottom="1" header="0.5" footer="0.5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5"/>
  <sheetViews>
    <sheetView tabSelected="1" zoomScale="85" zoomScaleNormal="85" workbookViewId="0">
      <selection activeCell="L7" sqref="L7"/>
    </sheetView>
  </sheetViews>
  <sheetFormatPr defaultColWidth="9.62727272727273" defaultRowHeight="14"/>
  <cols>
    <col min="1" max="1" width="15.3727272727273" customWidth="1"/>
    <col min="2" max="4" width="6.5" customWidth="1"/>
    <col min="5" max="5" width="11.5" customWidth="1"/>
    <col min="6" max="11" width="6.5" customWidth="1"/>
    <col min="12" max="12" width="11.5" customWidth="1"/>
    <col min="13" max="15" width="6.5" customWidth="1"/>
    <col min="16" max="18" width="8.87272727272727" customWidth="1"/>
    <col min="19" max="19" width="11.5" customWidth="1"/>
    <col min="20" max="22" width="8.87272727272727" customWidth="1"/>
  </cols>
  <sheetData>
    <row r="1" ht="17.5" spans="1:22">
      <c r="A1" s="1"/>
      <c r="B1" s="2" t="s">
        <v>0</v>
      </c>
      <c r="C1" s="2"/>
      <c r="D1" s="2"/>
      <c r="E1" s="2"/>
      <c r="F1" s="2"/>
      <c r="G1" s="2"/>
      <c r="H1" s="2"/>
      <c r="I1" s="2" t="s">
        <v>1</v>
      </c>
      <c r="J1" s="2"/>
      <c r="K1" s="2"/>
      <c r="L1" s="2"/>
      <c r="M1" s="3"/>
      <c r="N1" s="2"/>
      <c r="O1" s="4"/>
      <c r="P1" s="2" t="s">
        <v>2</v>
      </c>
      <c r="Q1" s="2"/>
      <c r="R1" s="2"/>
      <c r="S1" s="2"/>
      <c r="T1" s="3"/>
      <c r="U1" s="2"/>
      <c r="V1" s="4"/>
    </row>
    <row r="2" ht="17.5" spans="1:22">
      <c r="A2" s="1" t="s">
        <v>3</v>
      </c>
      <c r="B2" s="1" t="s">
        <v>4</v>
      </c>
      <c r="C2" s="1" t="s">
        <v>5</v>
      </c>
      <c r="D2" s="1" t="s">
        <v>174</v>
      </c>
      <c r="E2" s="1" t="s">
        <v>6</v>
      </c>
      <c r="F2" s="1" t="s">
        <v>7</v>
      </c>
      <c r="G2" s="1" t="s">
        <v>9</v>
      </c>
      <c r="H2" s="1" t="s">
        <v>10</v>
      </c>
      <c r="I2" s="1" t="s">
        <v>4</v>
      </c>
      <c r="J2" s="1" t="s">
        <v>5</v>
      </c>
      <c r="K2" s="1" t="s">
        <v>174</v>
      </c>
      <c r="L2" s="1" t="s">
        <v>6</v>
      </c>
      <c r="M2" s="5" t="s">
        <v>7</v>
      </c>
      <c r="N2" s="1" t="s">
        <v>9</v>
      </c>
      <c r="O2" s="6" t="s">
        <v>10</v>
      </c>
      <c r="P2" s="7" t="s">
        <v>4</v>
      </c>
      <c r="Q2" s="7" t="s">
        <v>5</v>
      </c>
      <c r="R2" s="7" t="s">
        <v>174</v>
      </c>
      <c r="S2" s="7" t="s">
        <v>6</v>
      </c>
      <c r="T2" s="7" t="s">
        <v>7</v>
      </c>
      <c r="U2" s="7" t="s">
        <v>9</v>
      </c>
      <c r="V2" s="7" t="s">
        <v>10</v>
      </c>
    </row>
    <row r="3" ht="17.5" spans="1:22">
      <c r="A3" s="1" t="s">
        <v>283</v>
      </c>
      <c r="B3" s="1">
        <v>76</v>
      </c>
      <c r="C3" s="1">
        <v>63</v>
      </c>
      <c r="D3" s="1">
        <v>39</v>
      </c>
      <c r="E3" s="1">
        <v>48</v>
      </c>
      <c r="F3" s="1">
        <v>48</v>
      </c>
      <c r="G3" s="1">
        <v>96</v>
      </c>
      <c r="H3" s="1">
        <v>274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</row>
    <row r="4" ht="17.5" spans="1:22">
      <c r="A4" s="1" t="s">
        <v>284</v>
      </c>
      <c r="B4" s="1">
        <v>76</v>
      </c>
      <c r="C4" s="1">
        <v>50</v>
      </c>
      <c r="D4" s="1">
        <v>70</v>
      </c>
      <c r="E4" s="1">
        <v>65</v>
      </c>
      <c r="F4" s="1">
        <v>25</v>
      </c>
      <c r="G4" s="1">
        <v>90</v>
      </c>
      <c r="H4" s="1">
        <v>286</v>
      </c>
      <c r="I4" s="7">
        <v>66</v>
      </c>
      <c r="J4" s="7">
        <v>54</v>
      </c>
      <c r="K4" s="7">
        <v>81</v>
      </c>
      <c r="L4" s="7">
        <v>68</v>
      </c>
      <c r="M4" s="7">
        <v>21</v>
      </c>
      <c r="N4" s="7">
        <v>89</v>
      </c>
      <c r="O4" s="7">
        <v>290</v>
      </c>
      <c r="P4" s="7">
        <v>82</v>
      </c>
      <c r="Q4" s="7">
        <v>51</v>
      </c>
      <c r="R4" s="7">
        <v>81</v>
      </c>
      <c r="S4" s="7">
        <v>76</v>
      </c>
      <c r="T4" s="7">
        <v>32</v>
      </c>
      <c r="U4" s="7">
        <v>108</v>
      </c>
      <c r="V4" s="7">
        <v>322</v>
      </c>
    </row>
    <row r="5" ht="17.5" spans="1:22">
      <c r="A5" s="1" t="s">
        <v>285</v>
      </c>
      <c r="B5" s="1">
        <v>76</v>
      </c>
      <c r="C5" s="1">
        <v>62</v>
      </c>
      <c r="D5" s="1">
        <v>53</v>
      </c>
      <c r="E5" s="1">
        <v>68</v>
      </c>
      <c r="F5" s="1">
        <v>45</v>
      </c>
      <c r="G5" s="1">
        <v>113</v>
      </c>
      <c r="H5" s="1">
        <v>304</v>
      </c>
      <c r="I5" s="7">
        <v>80</v>
      </c>
      <c r="J5" s="7">
        <v>64</v>
      </c>
      <c r="K5" s="7">
        <v>58</v>
      </c>
      <c r="L5" s="7">
        <v>74</v>
      </c>
      <c r="M5" s="7">
        <v>24</v>
      </c>
      <c r="N5" s="7">
        <v>98</v>
      </c>
      <c r="O5" s="7">
        <v>300</v>
      </c>
      <c r="P5" s="7">
        <v>72</v>
      </c>
      <c r="Q5" s="7">
        <v>61</v>
      </c>
      <c r="R5" s="7">
        <v>59</v>
      </c>
      <c r="S5" s="7">
        <v>84</v>
      </c>
      <c r="T5" s="7">
        <v>32</v>
      </c>
      <c r="U5" s="7">
        <v>116</v>
      </c>
      <c r="V5" s="7">
        <v>308</v>
      </c>
    </row>
    <row r="6" ht="17.5" spans="1:22">
      <c r="A6" s="1" t="s">
        <v>286</v>
      </c>
      <c r="B6" s="1">
        <v>86</v>
      </c>
      <c r="C6" s="1">
        <v>94</v>
      </c>
      <c r="D6" s="1">
        <v>68</v>
      </c>
      <c r="E6" s="1">
        <v>62</v>
      </c>
      <c r="F6" s="1">
        <v>45</v>
      </c>
      <c r="G6" s="1">
        <v>107</v>
      </c>
      <c r="H6" s="1">
        <v>355</v>
      </c>
      <c r="I6" s="7">
        <v>78</v>
      </c>
      <c r="J6" s="7">
        <v>90</v>
      </c>
      <c r="K6" s="7">
        <v>62</v>
      </c>
      <c r="L6" s="7">
        <v>62</v>
      </c>
      <c r="M6" s="7">
        <v>33</v>
      </c>
      <c r="N6" s="7">
        <v>95</v>
      </c>
      <c r="O6" s="7">
        <v>325</v>
      </c>
      <c r="P6" s="7">
        <v>82</v>
      </c>
      <c r="Q6" s="7">
        <v>92</v>
      </c>
      <c r="R6" s="7">
        <v>74</v>
      </c>
      <c r="S6" s="7">
        <v>78</v>
      </c>
      <c r="T6" s="7">
        <v>41</v>
      </c>
      <c r="U6" s="7">
        <v>119</v>
      </c>
      <c r="V6" s="7">
        <v>367</v>
      </c>
    </row>
    <row r="7" ht="17.5" spans="1:22">
      <c r="A7" s="1" t="s">
        <v>287</v>
      </c>
      <c r="B7" s="1">
        <v>82</v>
      </c>
      <c r="C7" s="1">
        <v>89</v>
      </c>
      <c r="D7" s="1">
        <v>72</v>
      </c>
      <c r="E7" s="1">
        <v>60</v>
      </c>
      <c r="F7" s="1">
        <v>46</v>
      </c>
      <c r="G7" s="1">
        <v>106</v>
      </c>
      <c r="H7" s="1">
        <v>349</v>
      </c>
      <c r="I7" s="7">
        <v>84</v>
      </c>
      <c r="J7" s="7">
        <v>93</v>
      </c>
      <c r="K7" s="7">
        <v>80</v>
      </c>
      <c r="L7" s="7">
        <v>68</v>
      </c>
      <c r="M7" s="7">
        <v>35</v>
      </c>
      <c r="N7" s="7">
        <v>103</v>
      </c>
      <c r="O7" s="7">
        <v>360</v>
      </c>
      <c r="P7" s="7">
        <v>86</v>
      </c>
      <c r="Q7" s="7">
        <v>84</v>
      </c>
      <c r="R7" s="7">
        <v>73</v>
      </c>
      <c r="S7" s="7">
        <v>70</v>
      </c>
      <c r="T7" s="7">
        <v>36</v>
      </c>
      <c r="U7" s="7">
        <v>106</v>
      </c>
      <c r="V7" s="7">
        <v>349</v>
      </c>
    </row>
    <row r="8" ht="17.5" spans="1:22">
      <c r="A8" s="1" t="s">
        <v>288</v>
      </c>
      <c r="B8" s="1">
        <v>84</v>
      </c>
      <c r="C8" s="1">
        <v>80</v>
      </c>
      <c r="D8" s="1">
        <v>35</v>
      </c>
      <c r="E8" s="1">
        <v>48</v>
      </c>
      <c r="F8" s="1">
        <v>29</v>
      </c>
      <c r="G8" s="1">
        <v>77</v>
      </c>
      <c r="H8" s="1">
        <v>276</v>
      </c>
      <c r="I8" s="7">
        <v>78</v>
      </c>
      <c r="J8" s="7">
        <v>93</v>
      </c>
      <c r="K8" s="7">
        <v>58</v>
      </c>
      <c r="L8" s="7">
        <v>70</v>
      </c>
      <c r="M8" s="7">
        <v>27</v>
      </c>
      <c r="N8" s="7">
        <v>97</v>
      </c>
      <c r="O8" s="7">
        <v>326</v>
      </c>
      <c r="P8" s="7">
        <v>80</v>
      </c>
      <c r="Q8" s="7">
        <v>59</v>
      </c>
      <c r="R8" s="7">
        <v>55</v>
      </c>
      <c r="S8" s="7">
        <v>74</v>
      </c>
      <c r="T8" s="7">
        <v>40</v>
      </c>
      <c r="U8" s="7">
        <v>114</v>
      </c>
      <c r="V8" s="7">
        <v>308</v>
      </c>
    </row>
    <row r="9" ht="17.5" spans="1:22">
      <c r="A9" s="1" t="s">
        <v>289</v>
      </c>
      <c r="B9" s="1">
        <v>88</v>
      </c>
      <c r="C9" s="1">
        <v>70</v>
      </c>
      <c r="D9" s="1">
        <v>75</v>
      </c>
      <c r="E9" s="1">
        <v>64</v>
      </c>
      <c r="F9" s="1">
        <v>46</v>
      </c>
      <c r="G9" s="1">
        <v>110</v>
      </c>
      <c r="H9" s="1">
        <v>343</v>
      </c>
      <c r="I9" s="7">
        <v>90</v>
      </c>
      <c r="J9" s="7">
        <v>84</v>
      </c>
      <c r="K9" s="7">
        <v>82</v>
      </c>
      <c r="L9" s="7">
        <v>72</v>
      </c>
      <c r="M9" s="7">
        <v>21</v>
      </c>
      <c r="N9" s="7">
        <v>93</v>
      </c>
      <c r="O9" s="7">
        <v>349</v>
      </c>
      <c r="P9" s="7">
        <v>88</v>
      </c>
      <c r="Q9" s="7">
        <v>73</v>
      </c>
      <c r="R9" s="7">
        <v>70</v>
      </c>
      <c r="S9" s="7">
        <v>74</v>
      </c>
      <c r="T9" s="7">
        <v>21</v>
      </c>
      <c r="U9" s="7">
        <v>95</v>
      </c>
      <c r="V9" s="7">
        <v>326</v>
      </c>
    </row>
    <row r="10" ht="17.5" spans="1:22">
      <c r="A10" s="1" t="s">
        <v>290</v>
      </c>
      <c r="B10" s="1">
        <v>82</v>
      </c>
      <c r="C10" s="1">
        <v>35</v>
      </c>
      <c r="D10" s="1">
        <v>70</v>
      </c>
      <c r="E10" s="1">
        <v>60</v>
      </c>
      <c r="F10" s="1">
        <v>37</v>
      </c>
      <c r="G10" s="1">
        <v>97</v>
      </c>
      <c r="H10" s="1">
        <v>284</v>
      </c>
      <c r="I10" s="7">
        <v>72</v>
      </c>
      <c r="J10" s="7">
        <v>51</v>
      </c>
      <c r="K10" s="7">
        <v>73</v>
      </c>
      <c r="L10" s="7">
        <v>70</v>
      </c>
      <c r="M10" s="7">
        <v>24</v>
      </c>
      <c r="N10" s="7">
        <v>94</v>
      </c>
      <c r="O10" s="7">
        <v>290</v>
      </c>
      <c r="P10" s="7">
        <v>86</v>
      </c>
      <c r="Q10" s="7">
        <v>43</v>
      </c>
      <c r="R10" s="7">
        <v>81</v>
      </c>
      <c r="S10" s="7">
        <v>58</v>
      </c>
      <c r="T10" s="7">
        <v>23</v>
      </c>
      <c r="U10" s="7">
        <v>81</v>
      </c>
      <c r="V10" s="7">
        <v>291</v>
      </c>
    </row>
    <row r="11" ht="17.5" spans="1:22">
      <c r="A11" s="1" t="s">
        <v>291</v>
      </c>
      <c r="B11" s="1">
        <v>88</v>
      </c>
      <c r="C11" s="1">
        <v>82</v>
      </c>
      <c r="D11" s="1">
        <v>66</v>
      </c>
      <c r="E11" s="1">
        <v>80</v>
      </c>
      <c r="F11" s="1">
        <v>54</v>
      </c>
      <c r="G11" s="1">
        <v>134</v>
      </c>
      <c r="H11" s="1">
        <v>370</v>
      </c>
      <c r="I11" s="7">
        <v>88</v>
      </c>
      <c r="J11" s="7">
        <v>95</v>
      </c>
      <c r="K11" s="7">
        <v>64</v>
      </c>
      <c r="L11" s="7">
        <v>80</v>
      </c>
      <c r="M11" s="7">
        <v>54</v>
      </c>
      <c r="N11" s="7">
        <v>134</v>
      </c>
      <c r="O11" s="7">
        <v>381</v>
      </c>
      <c r="P11" s="7">
        <v>96</v>
      </c>
      <c r="Q11" s="7">
        <v>80</v>
      </c>
      <c r="R11" s="7">
        <v>64</v>
      </c>
      <c r="S11" s="7">
        <v>74</v>
      </c>
      <c r="T11" s="7">
        <v>47</v>
      </c>
      <c r="U11" s="7">
        <v>121</v>
      </c>
      <c r="V11" s="7">
        <v>361</v>
      </c>
    </row>
    <row r="12" ht="17.5" spans="1:22">
      <c r="A12" s="1" t="s">
        <v>292</v>
      </c>
      <c r="B12" s="1">
        <v>74</v>
      </c>
      <c r="C12" s="1">
        <v>63</v>
      </c>
      <c r="D12" s="1">
        <v>67</v>
      </c>
      <c r="E12" s="1">
        <v>44</v>
      </c>
      <c r="F12" s="1">
        <v>40</v>
      </c>
      <c r="G12" s="1">
        <v>84</v>
      </c>
      <c r="H12" s="1">
        <v>288</v>
      </c>
      <c r="I12" s="7">
        <v>54</v>
      </c>
      <c r="J12" s="7">
        <v>73</v>
      </c>
      <c r="K12" s="7">
        <v>57</v>
      </c>
      <c r="L12" s="7">
        <v>62</v>
      </c>
      <c r="M12" s="7">
        <v>37</v>
      </c>
      <c r="N12" s="7">
        <v>99</v>
      </c>
      <c r="O12" s="7">
        <v>283</v>
      </c>
      <c r="P12" s="7"/>
      <c r="Q12" s="7"/>
      <c r="R12" s="7"/>
      <c r="S12" s="7"/>
      <c r="T12" s="7"/>
      <c r="U12" s="7"/>
      <c r="V12" s="7"/>
    </row>
    <row r="13" ht="17.5" spans="1:22">
      <c r="A13" s="1" t="s">
        <v>293</v>
      </c>
      <c r="B13" s="1">
        <v>80</v>
      </c>
      <c r="C13" s="1">
        <v>96</v>
      </c>
      <c r="D13" s="1">
        <v>86</v>
      </c>
      <c r="E13" s="1">
        <v>60</v>
      </c>
      <c r="F13" s="1">
        <v>41</v>
      </c>
      <c r="G13" s="1">
        <v>101</v>
      </c>
      <c r="H13" s="1">
        <v>363</v>
      </c>
      <c r="I13" s="7">
        <v>70</v>
      </c>
      <c r="J13" s="7">
        <v>82</v>
      </c>
      <c r="K13" s="7">
        <v>84</v>
      </c>
      <c r="L13" s="7">
        <v>64</v>
      </c>
      <c r="M13" s="7">
        <v>27</v>
      </c>
      <c r="N13" s="7">
        <v>91</v>
      </c>
      <c r="O13" s="7">
        <v>327</v>
      </c>
      <c r="P13" s="7">
        <v>76</v>
      </c>
      <c r="Q13" s="7">
        <v>88</v>
      </c>
      <c r="R13" s="7">
        <v>82</v>
      </c>
      <c r="S13" s="7">
        <v>72</v>
      </c>
      <c r="T13" s="7">
        <v>38</v>
      </c>
      <c r="U13" s="7">
        <v>110</v>
      </c>
      <c r="V13" s="7">
        <v>356</v>
      </c>
    </row>
    <row r="14" ht="17.5" spans="1:22">
      <c r="A14" s="1" t="s">
        <v>294</v>
      </c>
      <c r="B14" s="1">
        <v>70</v>
      </c>
      <c r="C14" s="1">
        <v>81</v>
      </c>
      <c r="D14" s="1">
        <v>50</v>
      </c>
      <c r="E14" s="1">
        <v>56</v>
      </c>
      <c r="F14" s="1">
        <v>36</v>
      </c>
      <c r="G14" s="1">
        <v>92</v>
      </c>
      <c r="H14" s="1">
        <v>293</v>
      </c>
      <c r="I14" s="7">
        <v>72</v>
      </c>
      <c r="J14" s="7">
        <v>85</v>
      </c>
      <c r="K14" s="7">
        <v>64</v>
      </c>
      <c r="L14" s="7">
        <v>74</v>
      </c>
      <c r="M14" s="7">
        <v>35</v>
      </c>
      <c r="N14" s="7">
        <v>109</v>
      </c>
      <c r="O14" s="7">
        <v>330</v>
      </c>
      <c r="P14" s="7">
        <v>76</v>
      </c>
      <c r="Q14" s="7">
        <v>81</v>
      </c>
      <c r="R14" s="7">
        <v>71</v>
      </c>
      <c r="S14" s="7">
        <v>72</v>
      </c>
      <c r="T14" s="7">
        <v>43</v>
      </c>
      <c r="U14" s="7">
        <v>115</v>
      </c>
      <c r="V14" s="7">
        <v>343</v>
      </c>
    </row>
    <row r="15" ht="17.5" spans="1:22">
      <c r="A15" s="1" t="s">
        <v>295</v>
      </c>
      <c r="B15" s="1">
        <v>78</v>
      </c>
      <c r="C15" s="1">
        <v>81</v>
      </c>
      <c r="D15" s="1">
        <v>43</v>
      </c>
      <c r="E15" s="1">
        <v>56</v>
      </c>
      <c r="F15" s="1">
        <v>31</v>
      </c>
      <c r="G15" s="1">
        <v>87</v>
      </c>
      <c r="H15" s="1">
        <v>289</v>
      </c>
      <c r="I15" s="7">
        <v>60</v>
      </c>
      <c r="J15" s="7">
        <v>78</v>
      </c>
      <c r="K15" s="7">
        <v>69</v>
      </c>
      <c r="L15" s="7">
        <v>58</v>
      </c>
      <c r="M15" s="7">
        <v>36</v>
      </c>
      <c r="N15" s="7">
        <v>94</v>
      </c>
      <c r="O15" s="7">
        <v>301</v>
      </c>
      <c r="P15" s="7">
        <v>70</v>
      </c>
      <c r="Q15" s="7">
        <v>64</v>
      </c>
      <c r="R15" s="7">
        <v>60</v>
      </c>
      <c r="S15" s="7">
        <v>58</v>
      </c>
      <c r="T15" s="7">
        <v>32</v>
      </c>
      <c r="U15" s="7">
        <v>90</v>
      </c>
      <c r="V15" s="7">
        <v>284</v>
      </c>
    </row>
    <row r="16" ht="17.5" spans="1:22">
      <c r="A16" s="8" t="s">
        <v>296</v>
      </c>
      <c r="B16" s="1">
        <v>70</v>
      </c>
      <c r="C16" s="1">
        <v>80</v>
      </c>
      <c r="D16" s="1">
        <v>60</v>
      </c>
      <c r="E16" s="1">
        <v>68</v>
      </c>
      <c r="F16" s="1">
        <v>35</v>
      </c>
      <c r="G16" s="1">
        <v>103</v>
      </c>
      <c r="H16" s="1">
        <v>313</v>
      </c>
      <c r="I16" s="7">
        <v>64</v>
      </c>
      <c r="J16" s="7">
        <v>84</v>
      </c>
      <c r="K16" s="7">
        <v>62</v>
      </c>
      <c r="L16" s="7">
        <v>70</v>
      </c>
      <c r="M16" s="7">
        <v>30</v>
      </c>
      <c r="N16" s="7">
        <v>100</v>
      </c>
      <c r="O16" s="7">
        <v>310</v>
      </c>
      <c r="P16" s="7">
        <v>58</v>
      </c>
      <c r="Q16" s="7">
        <v>79</v>
      </c>
      <c r="R16" s="7">
        <v>82</v>
      </c>
      <c r="S16" s="7">
        <v>72</v>
      </c>
      <c r="T16" s="7">
        <v>33</v>
      </c>
      <c r="U16" s="7">
        <v>105</v>
      </c>
      <c r="V16" s="7">
        <v>324</v>
      </c>
    </row>
    <row r="17" ht="17.5" spans="1:22">
      <c r="A17" s="1" t="s">
        <v>297</v>
      </c>
      <c r="B17" s="1">
        <v>86</v>
      </c>
      <c r="C17" s="1">
        <v>94</v>
      </c>
      <c r="D17" s="1">
        <v>81</v>
      </c>
      <c r="E17" s="1">
        <v>84</v>
      </c>
      <c r="F17" s="1">
        <v>54</v>
      </c>
      <c r="G17" s="1">
        <v>138</v>
      </c>
      <c r="H17" s="1">
        <v>399</v>
      </c>
      <c r="I17" s="7">
        <v>76</v>
      </c>
      <c r="J17" s="7">
        <v>83</v>
      </c>
      <c r="K17" s="7">
        <v>83</v>
      </c>
      <c r="L17" s="7">
        <v>82</v>
      </c>
      <c r="M17" s="7">
        <v>41</v>
      </c>
      <c r="N17" s="7">
        <v>123</v>
      </c>
      <c r="O17" s="7">
        <v>365</v>
      </c>
      <c r="P17" s="7"/>
      <c r="Q17" s="7"/>
      <c r="R17" s="7"/>
      <c r="S17" s="7"/>
      <c r="T17" s="7"/>
      <c r="U17" s="7"/>
      <c r="V17" s="7"/>
    </row>
    <row r="18" ht="17.5" spans="1:22">
      <c r="A18" s="8" t="s">
        <v>298</v>
      </c>
      <c r="B18" s="1">
        <v>72</v>
      </c>
      <c r="C18" s="1">
        <v>80</v>
      </c>
      <c r="D18" s="1">
        <v>49</v>
      </c>
      <c r="E18" s="1">
        <v>48</v>
      </c>
      <c r="F18" s="1">
        <v>37</v>
      </c>
      <c r="G18" s="1">
        <v>85</v>
      </c>
      <c r="H18" s="1">
        <v>286</v>
      </c>
      <c r="I18" s="7"/>
      <c r="J18" s="7"/>
      <c r="K18" s="7"/>
      <c r="L18" s="7"/>
      <c r="M18" s="7"/>
      <c r="N18" s="7"/>
      <c r="O18" s="7"/>
      <c r="P18" s="8"/>
      <c r="Q18" s="8"/>
      <c r="R18" s="8"/>
      <c r="S18" s="8"/>
      <c r="T18" s="8"/>
      <c r="U18" s="8"/>
      <c r="V18" s="8"/>
    </row>
    <row r="19" ht="17.5" spans="1:22">
      <c r="A19" s="1" t="s">
        <v>299</v>
      </c>
      <c r="B19" s="1">
        <v>76</v>
      </c>
      <c r="C19" s="1">
        <v>80</v>
      </c>
      <c r="D19" s="1">
        <v>59</v>
      </c>
      <c r="E19" s="1">
        <v>70</v>
      </c>
      <c r="F19" s="1">
        <v>41</v>
      </c>
      <c r="G19" s="1">
        <v>111</v>
      </c>
      <c r="H19" s="1">
        <v>326</v>
      </c>
      <c r="I19" s="7">
        <v>66</v>
      </c>
      <c r="J19" s="7">
        <v>75</v>
      </c>
      <c r="K19" s="7">
        <v>51</v>
      </c>
      <c r="L19" s="7">
        <v>62</v>
      </c>
      <c r="M19" s="7">
        <v>30</v>
      </c>
      <c r="N19" s="7">
        <v>92</v>
      </c>
      <c r="O19" s="7">
        <v>284</v>
      </c>
      <c r="P19" s="7">
        <v>78</v>
      </c>
      <c r="Q19" s="7">
        <v>74</v>
      </c>
      <c r="R19" s="7">
        <v>62</v>
      </c>
      <c r="S19" s="7">
        <v>56</v>
      </c>
      <c r="T19" s="7">
        <v>24</v>
      </c>
      <c r="U19" s="7">
        <v>80</v>
      </c>
      <c r="V19" s="7">
        <v>294</v>
      </c>
    </row>
    <row r="20" ht="17.5" spans="1:22">
      <c r="A20" s="1" t="s">
        <v>300</v>
      </c>
      <c r="B20" s="1">
        <v>78</v>
      </c>
      <c r="C20" s="1">
        <v>100</v>
      </c>
      <c r="D20" s="1">
        <v>84</v>
      </c>
      <c r="E20" s="1">
        <v>74</v>
      </c>
      <c r="F20" s="1">
        <v>54</v>
      </c>
      <c r="G20" s="1">
        <v>128</v>
      </c>
      <c r="H20" s="1">
        <v>390</v>
      </c>
      <c r="I20" s="7">
        <v>72</v>
      </c>
      <c r="J20" s="7">
        <v>95</v>
      </c>
      <c r="K20" s="7">
        <v>88</v>
      </c>
      <c r="L20" s="7">
        <v>78</v>
      </c>
      <c r="M20" s="7">
        <v>41</v>
      </c>
      <c r="N20" s="7">
        <v>119</v>
      </c>
      <c r="O20" s="7">
        <v>374</v>
      </c>
      <c r="P20" s="7">
        <v>72</v>
      </c>
      <c r="Q20" s="7">
        <v>93</v>
      </c>
      <c r="R20" s="7">
        <v>88</v>
      </c>
      <c r="S20" s="7">
        <v>48</v>
      </c>
      <c r="T20" s="7">
        <v>38</v>
      </c>
      <c r="U20" s="7">
        <v>86</v>
      </c>
      <c r="V20" s="7">
        <v>339</v>
      </c>
    </row>
    <row r="21" ht="17.5" spans="1:22">
      <c r="A21" s="1" t="s">
        <v>301</v>
      </c>
      <c r="B21" s="1">
        <v>78</v>
      </c>
      <c r="C21" s="1">
        <v>90</v>
      </c>
      <c r="D21" s="1">
        <v>92</v>
      </c>
      <c r="E21" s="1">
        <v>44</v>
      </c>
      <c r="F21" s="1">
        <v>51</v>
      </c>
      <c r="G21" s="1">
        <v>95</v>
      </c>
      <c r="H21" s="1">
        <v>355</v>
      </c>
      <c r="I21" s="7">
        <v>72</v>
      </c>
      <c r="J21" s="7">
        <v>88</v>
      </c>
      <c r="K21" s="7">
        <v>75</v>
      </c>
      <c r="L21" s="7">
        <v>64</v>
      </c>
      <c r="M21" s="7">
        <v>32</v>
      </c>
      <c r="N21" s="7">
        <v>96</v>
      </c>
      <c r="O21" s="7">
        <v>331</v>
      </c>
      <c r="P21" s="7">
        <v>74</v>
      </c>
      <c r="Q21" s="7">
        <v>70</v>
      </c>
      <c r="R21" s="7">
        <v>79</v>
      </c>
      <c r="S21" s="7">
        <v>38</v>
      </c>
      <c r="T21" s="7">
        <v>12</v>
      </c>
      <c r="U21" s="7">
        <v>50</v>
      </c>
      <c r="V21" s="7">
        <v>273</v>
      </c>
    </row>
    <row r="22" ht="17.5" spans="1:22">
      <c r="A22" s="1" t="s">
        <v>302</v>
      </c>
      <c r="B22" s="1">
        <v>78</v>
      </c>
      <c r="C22" s="1">
        <v>99</v>
      </c>
      <c r="D22" s="1">
        <v>76</v>
      </c>
      <c r="E22" s="1">
        <v>68</v>
      </c>
      <c r="F22" s="1">
        <v>54</v>
      </c>
      <c r="G22" s="1">
        <v>122</v>
      </c>
      <c r="H22" s="1">
        <v>375</v>
      </c>
      <c r="I22" s="7">
        <v>76</v>
      </c>
      <c r="J22" s="7">
        <v>95</v>
      </c>
      <c r="K22" s="7">
        <v>77</v>
      </c>
      <c r="L22" s="7">
        <v>62</v>
      </c>
      <c r="M22" s="7">
        <v>30</v>
      </c>
      <c r="N22" s="7">
        <v>92</v>
      </c>
      <c r="O22" s="7">
        <v>340</v>
      </c>
      <c r="P22" s="7">
        <v>82</v>
      </c>
      <c r="Q22" s="7">
        <v>74</v>
      </c>
      <c r="R22" s="7">
        <v>78</v>
      </c>
      <c r="S22" s="7">
        <v>84</v>
      </c>
      <c r="T22" s="7">
        <v>32</v>
      </c>
      <c r="U22" s="7">
        <v>116</v>
      </c>
      <c r="V22" s="7">
        <v>350</v>
      </c>
    </row>
    <row r="23" ht="17.5" spans="1:22">
      <c r="A23" s="1" t="s">
        <v>303</v>
      </c>
      <c r="B23" s="1">
        <v>48</v>
      </c>
      <c r="C23" s="1">
        <v>92</v>
      </c>
      <c r="D23" s="1">
        <v>30</v>
      </c>
      <c r="E23" s="1">
        <v>62</v>
      </c>
      <c r="F23" s="1">
        <v>54</v>
      </c>
      <c r="G23" s="1">
        <v>116</v>
      </c>
      <c r="H23" s="1">
        <v>286</v>
      </c>
      <c r="I23" s="7">
        <v>58</v>
      </c>
      <c r="J23" s="7">
        <v>80</v>
      </c>
      <c r="K23" s="7">
        <v>43</v>
      </c>
      <c r="L23" s="7">
        <v>70</v>
      </c>
      <c r="M23" s="7">
        <v>40</v>
      </c>
      <c r="N23" s="7">
        <v>110</v>
      </c>
      <c r="O23" s="7">
        <v>291</v>
      </c>
      <c r="P23" s="7">
        <v>44</v>
      </c>
      <c r="Q23" s="7">
        <v>65</v>
      </c>
      <c r="R23" s="7">
        <v>37</v>
      </c>
      <c r="S23" s="7">
        <v>78</v>
      </c>
      <c r="T23" s="7">
        <v>46</v>
      </c>
      <c r="U23" s="7">
        <v>124</v>
      </c>
      <c r="V23" s="7">
        <v>270</v>
      </c>
    </row>
    <row r="24" ht="17.5" spans="1:22">
      <c r="A24" s="1" t="s">
        <v>304</v>
      </c>
      <c r="B24" s="1">
        <v>82</v>
      </c>
      <c r="C24" s="1">
        <v>78</v>
      </c>
      <c r="D24" s="1">
        <v>86</v>
      </c>
      <c r="E24" s="1">
        <v>80</v>
      </c>
      <c r="F24" s="1">
        <v>51</v>
      </c>
      <c r="G24" s="1">
        <v>131</v>
      </c>
      <c r="H24" s="1">
        <v>377</v>
      </c>
      <c r="I24" s="7">
        <v>72</v>
      </c>
      <c r="J24" s="7">
        <v>92</v>
      </c>
      <c r="K24" s="7">
        <v>82</v>
      </c>
      <c r="L24" s="7">
        <v>72</v>
      </c>
      <c r="M24" s="7">
        <v>38</v>
      </c>
      <c r="N24" s="7">
        <v>110</v>
      </c>
      <c r="O24" s="7">
        <v>356</v>
      </c>
      <c r="P24" s="7">
        <v>72</v>
      </c>
      <c r="Q24" s="7">
        <v>72</v>
      </c>
      <c r="R24" s="7">
        <v>61</v>
      </c>
      <c r="S24" s="7">
        <v>56</v>
      </c>
      <c r="T24" s="7">
        <v>29</v>
      </c>
      <c r="U24" s="7">
        <v>85</v>
      </c>
      <c r="V24" s="7">
        <v>290</v>
      </c>
    </row>
    <row r="25" ht="17.5" spans="1:22">
      <c r="A25" s="1" t="s">
        <v>305</v>
      </c>
      <c r="B25" s="1">
        <v>70</v>
      </c>
      <c r="C25" s="1">
        <v>90</v>
      </c>
      <c r="D25" s="1">
        <v>38</v>
      </c>
      <c r="E25" s="1">
        <v>50</v>
      </c>
      <c r="F25" s="1">
        <v>48</v>
      </c>
      <c r="G25" s="1">
        <v>98</v>
      </c>
      <c r="H25" s="1">
        <v>296</v>
      </c>
      <c r="I25" s="7">
        <v>74</v>
      </c>
      <c r="J25" s="7">
        <v>88</v>
      </c>
      <c r="K25" s="7">
        <v>73</v>
      </c>
      <c r="L25" s="7">
        <v>74</v>
      </c>
      <c r="M25" s="7">
        <v>49</v>
      </c>
      <c r="N25" s="7">
        <v>123</v>
      </c>
      <c r="O25" s="7">
        <v>358</v>
      </c>
      <c r="P25" s="7">
        <v>70</v>
      </c>
      <c r="Q25" s="7">
        <v>84</v>
      </c>
      <c r="R25" s="7">
        <v>72</v>
      </c>
      <c r="S25" s="7">
        <v>72</v>
      </c>
      <c r="T25" s="7">
        <v>52</v>
      </c>
      <c r="U25" s="7">
        <v>124</v>
      </c>
      <c r="V25" s="7">
        <v>350</v>
      </c>
    </row>
    <row r="26" ht="17.5" spans="1:22">
      <c r="A26" s="1" t="s">
        <v>306</v>
      </c>
      <c r="B26" s="1">
        <v>86</v>
      </c>
      <c r="C26" s="1">
        <v>89</v>
      </c>
      <c r="D26" s="1">
        <v>64</v>
      </c>
      <c r="E26" s="1">
        <v>72</v>
      </c>
      <c r="F26" s="1">
        <v>46</v>
      </c>
      <c r="G26" s="1">
        <v>118</v>
      </c>
      <c r="H26" s="1">
        <v>357</v>
      </c>
      <c r="I26" s="7">
        <v>70</v>
      </c>
      <c r="J26" s="7">
        <v>99</v>
      </c>
      <c r="K26" s="7">
        <v>65</v>
      </c>
      <c r="L26" s="7">
        <v>54</v>
      </c>
      <c r="M26" s="7">
        <v>35</v>
      </c>
      <c r="N26" s="7">
        <v>89</v>
      </c>
      <c r="O26" s="7">
        <v>323</v>
      </c>
      <c r="P26" s="7">
        <v>72</v>
      </c>
      <c r="Q26" s="7">
        <v>95</v>
      </c>
      <c r="R26" s="7">
        <v>69</v>
      </c>
      <c r="S26" s="7">
        <v>68</v>
      </c>
      <c r="T26" s="7">
        <v>38</v>
      </c>
      <c r="U26" s="7">
        <v>106</v>
      </c>
      <c r="V26" s="7">
        <v>342</v>
      </c>
    </row>
    <row r="27" ht="17.5" spans="1:22">
      <c r="A27" s="1" t="s">
        <v>307</v>
      </c>
      <c r="B27" s="1">
        <v>62</v>
      </c>
      <c r="C27" s="1">
        <v>80</v>
      </c>
      <c r="D27" s="1">
        <v>72</v>
      </c>
      <c r="E27" s="1">
        <v>68</v>
      </c>
      <c r="F27" s="1">
        <v>34</v>
      </c>
      <c r="G27" s="1">
        <v>102</v>
      </c>
      <c r="H27" s="1">
        <v>316</v>
      </c>
      <c r="I27" s="7">
        <v>70</v>
      </c>
      <c r="J27" s="7">
        <v>89</v>
      </c>
      <c r="K27" s="7">
        <v>65</v>
      </c>
      <c r="L27" s="7">
        <v>62</v>
      </c>
      <c r="M27" s="7">
        <v>26</v>
      </c>
      <c r="N27" s="7">
        <v>88</v>
      </c>
      <c r="O27" s="7">
        <v>312</v>
      </c>
      <c r="P27" s="7">
        <v>64</v>
      </c>
      <c r="Q27" s="7">
        <v>87</v>
      </c>
      <c r="R27" s="7">
        <v>72</v>
      </c>
      <c r="S27" s="7">
        <v>56</v>
      </c>
      <c r="T27" s="7">
        <v>37</v>
      </c>
      <c r="U27" s="7">
        <v>93</v>
      </c>
      <c r="V27" s="7">
        <v>316</v>
      </c>
    </row>
    <row r="28" ht="17.5" spans="1:22">
      <c r="A28" s="1" t="s">
        <v>308</v>
      </c>
      <c r="B28" s="1">
        <v>86</v>
      </c>
      <c r="C28" s="1">
        <v>58</v>
      </c>
      <c r="D28" s="1">
        <v>83</v>
      </c>
      <c r="E28" s="1">
        <v>64</v>
      </c>
      <c r="F28" s="1">
        <v>38</v>
      </c>
      <c r="G28" s="1">
        <v>102</v>
      </c>
      <c r="H28" s="1">
        <v>329</v>
      </c>
      <c r="I28" s="7">
        <v>82</v>
      </c>
      <c r="J28" s="7">
        <v>75</v>
      </c>
      <c r="K28" s="7">
        <v>85</v>
      </c>
      <c r="L28" s="7">
        <v>80</v>
      </c>
      <c r="M28" s="7">
        <v>33</v>
      </c>
      <c r="N28" s="7">
        <v>113</v>
      </c>
      <c r="O28" s="7">
        <v>355</v>
      </c>
      <c r="P28" s="7">
        <v>78</v>
      </c>
      <c r="Q28" s="7">
        <v>77</v>
      </c>
      <c r="R28" s="7">
        <v>79</v>
      </c>
      <c r="S28" s="7">
        <v>78</v>
      </c>
      <c r="T28" s="7">
        <v>30</v>
      </c>
      <c r="U28" s="7">
        <v>108</v>
      </c>
      <c r="V28" s="7">
        <v>342</v>
      </c>
    </row>
    <row r="29" ht="17.5" spans="1:22">
      <c r="A29" s="1" t="s">
        <v>309</v>
      </c>
      <c r="B29" s="1">
        <v>64</v>
      </c>
      <c r="C29" s="1">
        <v>37</v>
      </c>
      <c r="D29" s="1">
        <v>22</v>
      </c>
      <c r="E29" s="1">
        <v>64</v>
      </c>
      <c r="F29" s="1">
        <v>24</v>
      </c>
      <c r="G29" s="1">
        <v>88</v>
      </c>
      <c r="H29" s="1">
        <v>211</v>
      </c>
      <c r="I29" s="7">
        <v>78</v>
      </c>
      <c r="J29" s="7">
        <v>76</v>
      </c>
      <c r="K29" s="7">
        <v>38</v>
      </c>
      <c r="L29" s="7">
        <v>58</v>
      </c>
      <c r="M29" s="7">
        <v>24</v>
      </c>
      <c r="N29" s="7">
        <v>82</v>
      </c>
      <c r="O29" s="7">
        <v>274</v>
      </c>
      <c r="P29" s="7"/>
      <c r="Q29" s="7"/>
      <c r="R29" s="7"/>
      <c r="S29" s="7"/>
      <c r="T29" s="7"/>
      <c r="U29" s="7"/>
      <c r="V29" s="7"/>
    </row>
    <row r="30" ht="17.5" spans="1:22">
      <c r="A30" s="1" t="s">
        <v>310</v>
      </c>
      <c r="B30" s="1">
        <v>82</v>
      </c>
      <c r="C30" s="1">
        <v>97</v>
      </c>
      <c r="D30" s="1">
        <v>96</v>
      </c>
      <c r="E30" s="1">
        <v>60</v>
      </c>
      <c r="F30" s="1">
        <v>57</v>
      </c>
      <c r="G30" s="1">
        <v>117</v>
      </c>
      <c r="H30" s="1">
        <v>392</v>
      </c>
      <c r="I30" s="7">
        <v>76</v>
      </c>
      <c r="J30" s="7">
        <v>94</v>
      </c>
      <c r="K30" s="7">
        <v>94</v>
      </c>
      <c r="L30" s="7">
        <v>70</v>
      </c>
      <c r="M30" s="7">
        <v>36</v>
      </c>
      <c r="N30" s="7">
        <v>106</v>
      </c>
      <c r="O30" s="7">
        <v>370</v>
      </c>
      <c r="P30" s="7"/>
      <c r="Q30" s="7"/>
      <c r="R30" s="7"/>
      <c r="S30" s="7"/>
      <c r="T30" s="7"/>
      <c r="U30" s="7"/>
      <c r="V30" s="7"/>
    </row>
    <row r="31" ht="17.5" spans="1:22">
      <c r="A31" s="1" t="s">
        <v>311</v>
      </c>
      <c r="B31" s="1"/>
      <c r="C31" s="1"/>
      <c r="D31" s="1"/>
      <c r="E31" s="1"/>
      <c r="F31" s="1"/>
      <c r="G31" s="1"/>
      <c r="H31" s="1"/>
      <c r="I31" s="7">
        <v>64</v>
      </c>
      <c r="J31" s="7">
        <v>72</v>
      </c>
      <c r="K31" s="7">
        <v>88</v>
      </c>
      <c r="L31" s="7">
        <v>80</v>
      </c>
      <c r="M31" s="7">
        <v>30</v>
      </c>
      <c r="N31" s="7">
        <v>110</v>
      </c>
      <c r="O31" s="7">
        <v>334</v>
      </c>
      <c r="P31" s="7"/>
      <c r="Q31" s="7"/>
      <c r="R31" s="7"/>
      <c r="S31" s="7"/>
      <c r="T31" s="7"/>
      <c r="U31" s="7"/>
      <c r="V31" s="7"/>
    </row>
    <row r="32" ht="17.5" spans="1:22">
      <c r="A32" s="1" t="s">
        <v>312</v>
      </c>
      <c r="B32" s="1"/>
      <c r="C32" s="1"/>
      <c r="D32" s="1"/>
      <c r="E32" s="1"/>
      <c r="F32" s="1"/>
      <c r="G32" s="1"/>
      <c r="H32" s="1"/>
      <c r="I32" s="7">
        <v>50</v>
      </c>
      <c r="J32" s="7">
        <v>72</v>
      </c>
      <c r="K32" s="7">
        <v>50</v>
      </c>
      <c r="L32" s="7">
        <v>46</v>
      </c>
      <c r="M32" s="7">
        <v>12</v>
      </c>
      <c r="N32" s="7">
        <v>58</v>
      </c>
      <c r="O32" s="7">
        <v>230</v>
      </c>
      <c r="P32" s="7">
        <v>58</v>
      </c>
      <c r="Q32" s="7">
        <v>68</v>
      </c>
      <c r="R32" s="7">
        <v>66</v>
      </c>
      <c r="S32" s="7">
        <v>62</v>
      </c>
      <c r="T32" s="7">
        <v>30</v>
      </c>
      <c r="U32" s="7">
        <v>92</v>
      </c>
      <c r="V32" s="7">
        <v>284</v>
      </c>
    </row>
    <row r="33" ht="17.5" spans="1:22">
      <c r="A33" s="1" t="s">
        <v>313</v>
      </c>
      <c r="B33" s="1">
        <v>80</v>
      </c>
      <c r="C33" s="1">
        <v>55</v>
      </c>
      <c r="D33" s="1">
        <v>72</v>
      </c>
      <c r="E33" s="1">
        <v>52</v>
      </c>
      <c r="F33" s="1">
        <v>41</v>
      </c>
      <c r="G33" s="1">
        <v>93</v>
      </c>
      <c r="H33" s="1">
        <v>300</v>
      </c>
      <c r="I33" s="7">
        <v>70</v>
      </c>
      <c r="J33" s="7">
        <v>79</v>
      </c>
      <c r="K33" s="7">
        <v>76</v>
      </c>
      <c r="L33" s="7">
        <v>68</v>
      </c>
      <c r="M33" s="7">
        <v>24</v>
      </c>
      <c r="N33" s="7">
        <v>92</v>
      </c>
      <c r="O33" s="7">
        <v>317</v>
      </c>
      <c r="P33" s="7"/>
      <c r="Q33" s="7"/>
      <c r="R33" s="7"/>
      <c r="S33" s="7"/>
      <c r="T33" s="7"/>
      <c r="U33" s="7"/>
      <c r="V33" s="7"/>
    </row>
    <row r="34" ht="17.5" spans="1:22">
      <c r="A34" s="1" t="s">
        <v>314</v>
      </c>
      <c r="B34" s="1">
        <v>76</v>
      </c>
      <c r="C34" s="1">
        <v>86</v>
      </c>
      <c r="D34" s="1">
        <v>86</v>
      </c>
      <c r="E34" s="1">
        <v>84</v>
      </c>
      <c r="F34" s="1">
        <v>57</v>
      </c>
      <c r="G34" s="1">
        <v>141</v>
      </c>
      <c r="H34" s="1">
        <v>389</v>
      </c>
      <c r="I34" s="7">
        <v>70</v>
      </c>
      <c r="J34" s="7">
        <v>94</v>
      </c>
      <c r="K34" s="7">
        <v>84</v>
      </c>
      <c r="L34" s="7">
        <v>60</v>
      </c>
      <c r="M34" s="7">
        <v>32</v>
      </c>
      <c r="N34" s="7">
        <v>92</v>
      </c>
      <c r="O34" s="7">
        <v>340</v>
      </c>
      <c r="P34" s="7">
        <v>90</v>
      </c>
      <c r="Q34" s="7">
        <v>76</v>
      </c>
      <c r="R34" s="7">
        <v>90</v>
      </c>
      <c r="S34" s="7">
        <v>62</v>
      </c>
      <c r="T34" s="7">
        <v>39</v>
      </c>
      <c r="U34" s="7">
        <v>101</v>
      </c>
      <c r="V34" s="7">
        <v>357</v>
      </c>
    </row>
    <row r="35" ht="17.5" spans="1:22">
      <c r="A35" s="1" t="s">
        <v>315</v>
      </c>
      <c r="B35" s="1">
        <v>78</v>
      </c>
      <c r="C35" s="1">
        <v>69</v>
      </c>
      <c r="D35" s="1">
        <v>82</v>
      </c>
      <c r="E35" s="1">
        <v>64</v>
      </c>
      <c r="F35" s="1">
        <v>54</v>
      </c>
      <c r="G35" s="1">
        <v>118</v>
      </c>
      <c r="H35" s="1">
        <v>347</v>
      </c>
      <c r="I35" s="7">
        <v>64</v>
      </c>
      <c r="J35" s="7">
        <v>87</v>
      </c>
      <c r="K35" s="7">
        <v>88</v>
      </c>
      <c r="L35" s="7">
        <v>80</v>
      </c>
      <c r="M35" s="7">
        <v>43</v>
      </c>
      <c r="N35" s="7">
        <v>123</v>
      </c>
      <c r="O35" s="7">
        <v>362</v>
      </c>
      <c r="P35" s="7">
        <v>74</v>
      </c>
      <c r="Q35" s="7">
        <v>70</v>
      </c>
      <c r="R35" s="7">
        <v>82</v>
      </c>
      <c r="S35" s="7">
        <v>82</v>
      </c>
      <c r="T35" s="7">
        <v>44</v>
      </c>
      <c r="U35" s="7">
        <v>126</v>
      </c>
      <c r="V35" s="7">
        <v>352</v>
      </c>
    </row>
    <row r="36" ht="17.5" spans="1:22">
      <c r="A36" s="1" t="s">
        <v>316</v>
      </c>
      <c r="B36" s="1">
        <v>88</v>
      </c>
      <c r="C36" s="1">
        <v>87</v>
      </c>
      <c r="D36" s="1">
        <v>89</v>
      </c>
      <c r="E36" s="1">
        <v>58</v>
      </c>
      <c r="F36" s="1">
        <v>54</v>
      </c>
      <c r="G36" s="1">
        <v>112</v>
      </c>
      <c r="H36" s="1">
        <v>376</v>
      </c>
      <c r="I36" s="7">
        <v>80</v>
      </c>
      <c r="J36" s="7">
        <v>74</v>
      </c>
      <c r="K36" s="7">
        <v>90</v>
      </c>
      <c r="L36" s="7">
        <v>78</v>
      </c>
      <c r="M36" s="7">
        <v>44</v>
      </c>
      <c r="N36" s="7">
        <v>122</v>
      </c>
      <c r="O36" s="7">
        <v>366</v>
      </c>
      <c r="P36" s="7">
        <v>86</v>
      </c>
      <c r="Q36" s="7">
        <v>77</v>
      </c>
      <c r="R36" s="7">
        <v>77</v>
      </c>
      <c r="S36" s="7">
        <v>74</v>
      </c>
      <c r="T36" s="7">
        <v>40</v>
      </c>
      <c r="U36" s="7">
        <v>114</v>
      </c>
      <c r="V36" s="7">
        <v>354</v>
      </c>
    </row>
    <row r="37" ht="17.5" spans="1:22">
      <c r="A37" s="1" t="s">
        <v>317</v>
      </c>
      <c r="B37" s="1">
        <v>88</v>
      </c>
      <c r="C37" s="1">
        <v>84</v>
      </c>
      <c r="D37" s="1">
        <v>81</v>
      </c>
      <c r="E37" s="1">
        <v>58</v>
      </c>
      <c r="F37" s="1">
        <v>54</v>
      </c>
      <c r="G37" s="1">
        <v>112</v>
      </c>
      <c r="H37" s="1">
        <v>365</v>
      </c>
      <c r="I37" s="7">
        <v>80</v>
      </c>
      <c r="J37" s="7">
        <v>74</v>
      </c>
      <c r="K37" s="7">
        <v>92</v>
      </c>
      <c r="L37" s="7">
        <v>78</v>
      </c>
      <c r="M37" s="7">
        <v>44</v>
      </c>
      <c r="N37" s="7">
        <v>122</v>
      </c>
      <c r="O37" s="7">
        <v>368</v>
      </c>
      <c r="P37" s="7">
        <v>94</v>
      </c>
      <c r="Q37" s="7">
        <v>81</v>
      </c>
      <c r="R37" s="7">
        <v>77</v>
      </c>
      <c r="S37" s="7">
        <v>78</v>
      </c>
      <c r="T37" s="7">
        <v>38</v>
      </c>
      <c r="U37" s="7">
        <v>116</v>
      </c>
      <c r="V37" s="7">
        <v>368</v>
      </c>
    </row>
    <row r="38" ht="17.5" spans="1:22">
      <c r="A38" s="1" t="s">
        <v>318</v>
      </c>
      <c r="B38" s="1">
        <v>88</v>
      </c>
      <c r="C38" s="1">
        <v>77</v>
      </c>
      <c r="D38" s="1">
        <v>76</v>
      </c>
      <c r="E38" s="1">
        <v>58</v>
      </c>
      <c r="F38" s="1">
        <v>46</v>
      </c>
      <c r="G38" s="1">
        <v>104</v>
      </c>
      <c r="H38" s="1">
        <v>345</v>
      </c>
      <c r="I38" s="7">
        <v>74</v>
      </c>
      <c r="J38" s="7">
        <v>84</v>
      </c>
      <c r="K38" s="7">
        <v>84</v>
      </c>
      <c r="L38" s="7">
        <v>78</v>
      </c>
      <c r="M38" s="7">
        <v>44</v>
      </c>
      <c r="N38" s="7">
        <v>122</v>
      </c>
      <c r="O38" s="7">
        <v>364</v>
      </c>
      <c r="P38" s="7">
        <v>72</v>
      </c>
      <c r="Q38" s="7">
        <v>66</v>
      </c>
      <c r="R38" s="7">
        <v>63</v>
      </c>
      <c r="S38" s="7">
        <v>66</v>
      </c>
      <c r="T38" s="7">
        <v>32</v>
      </c>
      <c r="U38" s="7">
        <v>98</v>
      </c>
      <c r="V38" s="7">
        <v>299</v>
      </c>
    </row>
    <row r="39" ht="17.5" spans="1:22">
      <c r="A39" s="1" t="s">
        <v>319</v>
      </c>
      <c r="B39" s="1">
        <v>62</v>
      </c>
      <c r="C39" s="1">
        <v>59</v>
      </c>
      <c r="D39" s="1">
        <v>32</v>
      </c>
      <c r="E39" s="1">
        <v>58</v>
      </c>
      <c r="F39" s="1">
        <v>43</v>
      </c>
      <c r="G39" s="1">
        <v>101</v>
      </c>
      <c r="H39" s="1">
        <v>254</v>
      </c>
      <c r="I39" s="7">
        <v>62</v>
      </c>
      <c r="J39" s="7">
        <v>52</v>
      </c>
      <c r="K39" s="7">
        <v>35</v>
      </c>
      <c r="L39" s="7">
        <v>56</v>
      </c>
      <c r="M39" s="7">
        <v>18</v>
      </c>
      <c r="N39" s="7">
        <v>74</v>
      </c>
      <c r="O39" s="7">
        <v>223</v>
      </c>
      <c r="P39" s="7">
        <v>58</v>
      </c>
      <c r="Q39" s="7">
        <v>52</v>
      </c>
      <c r="R39" s="7">
        <v>35</v>
      </c>
      <c r="S39" s="7">
        <v>62</v>
      </c>
      <c r="T39" s="7">
        <v>35</v>
      </c>
      <c r="U39" s="7">
        <v>97</v>
      </c>
      <c r="V39" s="7">
        <v>242</v>
      </c>
    </row>
    <row r="40" ht="17.5" spans="1:22">
      <c r="A40" s="1" t="s">
        <v>320</v>
      </c>
      <c r="B40" s="1">
        <v>88</v>
      </c>
      <c r="C40" s="1">
        <v>89</v>
      </c>
      <c r="D40" s="1">
        <v>86</v>
      </c>
      <c r="E40" s="1">
        <v>60</v>
      </c>
      <c r="F40" s="1">
        <v>46</v>
      </c>
      <c r="G40" s="1">
        <v>106</v>
      </c>
      <c r="H40" s="1">
        <v>369</v>
      </c>
      <c r="I40" s="7">
        <v>86</v>
      </c>
      <c r="J40" s="7">
        <v>88</v>
      </c>
      <c r="K40" s="7">
        <v>86</v>
      </c>
      <c r="L40" s="7">
        <v>68</v>
      </c>
      <c r="M40" s="7">
        <v>30</v>
      </c>
      <c r="N40" s="7">
        <v>98</v>
      </c>
      <c r="O40" s="7">
        <v>358</v>
      </c>
      <c r="P40" s="7">
        <v>90</v>
      </c>
      <c r="Q40" s="7">
        <v>88</v>
      </c>
      <c r="R40" s="7">
        <v>86</v>
      </c>
      <c r="S40" s="7">
        <v>74</v>
      </c>
      <c r="T40" s="7">
        <v>47</v>
      </c>
      <c r="U40" s="7">
        <v>121</v>
      </c>
      <c r="V40" s="7">
        <v>385</v>
      </c>
    </row>
    <row r="41" ht="17.5" spans="1:22">
      <c r="A41" s="1" t="s">
        <v>321</v>
      </c>
      <c r="B41" s="1"/>
      <c r="C41" s="1"/>
      <c r="D41" s="1"/>
      <c r="E41" s="1"/>
      <c r="F41" s="1"/>
      <c r="G41" s="1"/>
      <c r="H41" s="1"/>
      <c r="I41" s="7">
        <v>54</v>
      </c>
      <c r="J41" s="7">
        <v>93</v>
      </c>
      <c r="K41" s="7">
        <v>77</v>
      </c>
      <c r="L41" s="7">
        <v>60</v>
      </c>
      <c r="M41" s="7">
        <v>32</v>
      </c>
      <c r="N41" s="7">
        <v>92</v>
      </c>
      <c r="O41" s="7">
        <v>316</v>
      </c>
      <c r="P41" s="7">
        <v>70</v>
      </c>
      <c r="Q41" s="7">
        <v>78</v>
      </c>
      <c r="R41" s="7">
        <v>75</v>
      </c>
      <c r="S41" s="7">
        <v>60</v>
      </c>
      <c r="T41" s="7">
        <v>30</v>
      </c>
      <c r="U41" s="7">
        <v>90</v>
      </c>
      <c r="V41" s="7">
        <v>313</v>
      </c>
    </row>
    <row r="42" ht="17.5" spans="1:22">
      <c r="A42" s="1" t="s">
        <v>322</v>
      </c>
      <c r="B42" s="1"/>
      <c r="C42" s="1"/>
      <c r="D42" s="1"/>
      <c r="E42" s="1"/>
      <c r="F42" s="1"/>
      <c r="G42" s="1"/>
      <c r="H42" s="1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ht="17.5" spans="1:22">
      <c r="A43" s="1" t="s">
        <v>323</v>
      </c>
      <c r="B43" s="1"/>
      <c r="C43" s="1"/>
      <c r="D43" s="1"/>
      <c r="E43" s="1"/>
      <c r="F43" s="1"/>
      <c r="G43" s="1"/>
      <c r="H43" s="1"/>
      <c r="I43" s="7">
        <v>66</v>
      </c>
      <c r="J43" s="7">
        <v>93</v>
      </c>
      <c r="K43" s="7">
        <v>63</v>
      </c>
      <c r="L43" s="7">
        <v>70</v>
      </c>
      <c r="M43" s="7">
        <v>43</v>
      </c>
      <c r="N43" s="7">
        <v>113</v>
      </c>
      <c r="O43" s="7">
        <v>335</v>
      </c>
      <c r="P43" s="7">
        <v>70</v>
      </c>
      <c r="Q43" s="7">
        <v>85</v>
      </c>
      <c r="R43" s="7">
        <v>47</v>
      </c>
      <c r="S43" s="7">
        <v>70</v>
      </c>
      <c r="T43" s="7">
        <v>30</v>
      </c>
      <c r="U43" s="7">
        <v>100</v>
      </c>
      <c r="V43" s="7">
        <v>302</v>
      </c>
    </row>
    <row r="44" ht="17.5" spans="1:22">
      <c r="A44" s="1" t="s">
        <v>324</v>
      </c>
      <c r="B44" s="9"/>
      <c r="C44" s="9"/>
      <c r="D44" s="9"/>
      <c r="E44" s="9"/>
      <c r="F44" s="9"/>
      <c r="G44" s="9"/>
      <c r="H44" s="9"/>
      <c r="I44" s="7">
        <v>56</v>
      </c>
      <c r="J44" s="7">
        <v>81</v>
      </c>
      <c r="K44" s="7">
        <v>87</v>
      </c>
      <c r="L44" s="7">
        <v>50</v>
      </c>
      <c r="M44" s="7">
        <v>43</v>
      </c>
      <c r="N44" s="7">
        <v>93</v>
      </c>
      <c r="O44" s="7">
        <v>317</v>
      </c>
      <c r="P44" s="7">
        <v>76</v>
      </c>
      <c r="Q44" s="7">
        <v>74</v>
      </c>
      <c r="R44" s="7">
        <v>89</v>
      </c>
      <c r="S44" s="7">
        <v>58</v>
      </c>
      <c r="T44" s="7">
        <v>30</v>
      </c>
      <c r="U44" s="7">
        <v>88</v>
      </c>
      <c r="V44" s="7">
        <v>327</v>
      </c>
    </row>
    <row r="45" ht="17.5" spans="1:22">
      <c r="A45" s="1" t="s">
        <v>325</v>
      </c>
      <c r="B45" s="9"/>
      <c r="C45" s="9"/>
      <c r="D45" s="9"/>
      <c r="E45" s="9"/>
      <c r="F45" s="9"/>
      <c r="G45" s="9"/>
      <c r="H45" s="9"/>
      <c r="I45" s="7">
        <v>84</v>
      </c>
      <c r="J45" s="7">
        <v>64</v>
      </c>
      <c r="K45" s="7">
        <v>53</v>
      </c>
      <c r="L45" s="7">
        <v>70</v>
      </c>
      <c r="M45" s="7">
        <v>40</v>
      </c>
      <c r="N45" s="7">
        <v>110</v>
      </c>
      <c r="O45" s="7">
        <v>311</v>
      </c>
      <c r="P45" s="7">
        <v>88</v>
      </c>
      <c r="Q45" s="7">
        <v>64</v>
      </c>
      <c r="R45" s="7">
        <v>72</v>
      </c>
      <c r="S45" s="7">
        <v>74</v>
      </c>
      <c r="T45" s="7">
        <v>43</v>
      </c>
      <c r="U45" s="7">
        <v>117</v>
      </c>
      <c r="V45" s="7">
        <v>341</v>
      </c>
    </row>
  </sheetData>
  <sheetProtection formatCells="0" formatColumns="0" formatRows="0" insertRows="0" insertColumns="0" insertHyperlinks="0" deleteColumns="0" deleteRows="0" sort="0" autoFilter="0" pivotTables="0"/>
  <mergeCells count="3">
    <mergeCell ref="B1:H1"/>
    <mergeCell ref="I1:O1"/>
    <mergeCell ref="P1:V1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D5662047-3127-477A-AC3A-1D340467FB41}">
  <ds:schemaRefs/>
</ds:datastoreItem>
</file>

<file path=customXml/itemProps3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一类</vt:lpstr>
      <vt:lpstr>三类1</vt:lpstr>
      <vt:lpstr>三类2</vt:lpstr>
      <vt:lpstr>三类3</vt:lpstr>
      <vt:lpstr>六类</vt:lpstr>
      <vt:lpstr>九类一</vt:lpstr>
      <vt:lpstr>九类二</vt:lpstr>
      <vt:lpstr>十类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</dc:creator>
  <cp:lastModifiedBy>张迪楠</cp:lastModifiedBy>
  <dcterms:created xsi:type="dcterms:W3CDTF">2026-09-22T18:10:00Z</dcterms:created>
  <dcterms:modified xsi:type="dcterms:W3CDTF">2026-08-25T13:04:08Z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7CD8A4AB10586BE4A9F97E6A433D3CFA_33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