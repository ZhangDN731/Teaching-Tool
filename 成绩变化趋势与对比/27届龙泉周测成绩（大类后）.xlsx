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4E32070F-9D5E-48BD-8008-85ECF2D1BE74}" xr6:coauthVersionLast="47" xr6:coauthVersionMax="47" xr10:uidLastSave="{00000000-0000-0000-0000-000000000000}"/>
  <bookViews>
    <workbookView xWindow="-110" yWindow="-110" windowWidth="22620" windowHeight="13620" tabRatio="785" activeTab="9" xr2:uid="{00000000-000D-0000-FFFF-FFFF00000000}"/>
  </bookViews>
  <sheets>
    <sheet name="一类" sheetId="1" r:id="rId1"/>
    <sheet name="二类1" sheetId="2" r:id="rId2"/>
    <sheet name="二类2" sheetId="3" r:id="rId3"/>
    <sheet name="三类1" sheetId="4" r:id="rId4"/>
    <sheet name="三类2" sheetId="5" r:id="rId5"/>
    <sheet name="三类3" sheetId="6" r:id="rId6"/>
    <sheet name="四类1" sheetId="7" r:id="rId7"/>
    <sheet name="四类2" sheetId="8" r:id="rId8"/>
    <sheet name="五类" sheetId="9" r:id="rId9"/>
    <sheet name="六类" sheetId="10" r:id="rId10"/>
    <sheet name="七类" sheetId="11" r:id="rId11"/>
    <sheet name="八类" sheetId="12" r:id="rId12"/>
    <sheet name="九类一" sheetId="13" r:id="rId13"/>
    <sheet name="九类二" sheetId="14" r:id="rId14"/>
    <sheet name="十类" sheetId="15" r:id="rId15"/>
  </sheets>
  <definedNames>
    <definedName name="_xlnm._FilterDatabase" localSheetId="8" hidden="1">五类!#REF!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48" i="14" l="1"/>
  <c r="AC48" i="14" s="1"/>
  <c r="S48" i="14"/>
  <c r="V48" i="14" s="1"/>
  <c r="O48" i="14"/>
  <c r="E48" i="14"/>
  <c r="H48" i="14" s="1"/>
  <c r="Z47" i="14"/>
  <c r="AC47" i="14" s="1"/>
  <c r="S47" i="14"/>
  <c r="V47" i="14" s="1"/>
  <c r="O47" i="14"/>
  <c r="E47" i="14"/>
  <c r="H47" i="14" s="1"/>
  <c r="Z46" i="14"/>
  <c r="AC46" i="14" s="1"/>
  <c r="O46" i="14"/>
  <c r="E46" i="14"/>
  <c r="H46" i="14" s="1"/>
  <c r="Z45" i="14"/>
  <c r="AC45" i="14" s="1"/>
  <c r="Z44" i="14"/>
  <c r="AC44" i="14" s="1"/>
  <c r="O44" i="14"/>
  <c r="E44" i="14"/>
  <c r="H44" i="14" s="1"/>
  <c r="Z43" i="14"/>
  <c r="AC43" i="14" s="1"/>
  <c r="E43" i="14"/>
  <c r="H43" i="14" s="1"/>
  <c r="Z42" i="14"/>
  <c r="AC42" i="14" s="1"/>
  <c r="S42" i="14"/>
  <c r="V42" i="14" s="1"/>
  <c r="E42" i="14"/>
  <c r="H42" i="14" s="1"/>
  <c r="Z41" i="14"/>
  <c r="AC41" i="14" s="1"/>
  <c r="S41" i="14"/>
  <c r="V41" i="14" s="1"/>
  <c r="O41" i="14"/>
  <c r="E41" i="14"/>
  <c r="H41" i="14" s="1"/>
  <c r="S39" i="14"/>
  <c r="V39" i="14" s="1"/>
  <c r="Z38" i="14"/>
  <c r="AC38" i="14" s="1"/>
  <c r="E38" i="14"/>
  <c r="H38" i="14" s="1"/>
  <c r="E37" i="14"/>
  <c r="H37" i="14" s="1"/>
  <c r="Z36" i="14"/>
  <c r="AC36" i="14" s="1"/>
  <c r="S36" i="14"/>
  <c r="V36" i="14" s="1"/>
  <c r="O36" i="14"/>
  <c r="E36" i="14"/>
  <c r="H36" i="14" s="1"/>
  <c r="Z35" i="14"/>
  <c r="AC35" i="14" s="1"/>
  <c r="S35" i="14"/>
  <c r="V35" i="14" s="1"/>
  <c r="O35" i="14"/>
  <c r="E35" i="14"/>
  <c r="H35" i="14" s="1"/>
  <c r="Z34" i="14"/>
  <c r="AC34" i="14" s="1"/>
  <c r="S34" i="14"/>
  <c r="V34" i="14" s="1"/>
  <c r="E34" i="14"/>
  <c r="H34" i="14" s="1"/>
  <c r="V33" i="14"/>
  <c r="E33" i="14"/>
  <c r="H33" i="14" s="1"/>
  <c r="Z32" i="14"/>
  <c r="AC32" i="14" s="1"/>
  <c r="S32" i="14"/>
  <c r="V32" i="14" s="1"/>
  <c r="E32" i="14"/>
  <c r="H32" i="14" s="1"/>
  <c r="Z31" i="14"/>
  <c r="AC31" i="14" s="1"/>
  <c r="O31" i="14"/>
  <c r="E31" i="14"/>
  <c r="H31" i="14" s="1"/>
  <c r="Z30" i="14"/>
  <c r="AC30" i="14" s="1"/>
  <c r="E30" i="14"/>
  <c r="H30" i="14" s="1"/>
  <c r="Z29" i="14"/>
  <c r="AC29" i="14" s="1"/>
  <c r="S29" i="14"/>
  <c r="V29" i="14" s="1"/>
  <c r="O29" i="14"/>
  <c r="E29" i="14"/>
  <c r="H29" i="14" s="1"/>
  <c r="Z28" i="14"/>
  <c r="AC28" i="14" s="1"/>
  <c r="S28" i="14"/>
  <c r="V28" i="14" s="1"/>
  <c r="O28" i="14"/>
  <c r="E28" i="14"/>
  <c r="H28" i="14" s="1"/>
  <c r="Z27" i="14"/>
  <c r="AC27" i="14" s="1"/>
  <c r="S27" i="14"/>
  <c r="V27" i="14" s="1"/>
  <c r="O27" i="14"/>
  <c r="E27" i="14"/>
  <c r="H27" i="14" s="1"/>
  <c r="S26" i="14"/>
  <c r="V26" i="14" s="1"/>
  <c r="E26" i="14"/>
  <c r="H26" i="14" s="1"/>
  <c r="Z25" i="14"/>
  <c r="AC25" i="14" s="1"/>
  <c r="S25" i="14"/>
  <c r="V25" i="14" s="1"/>
  <c r="O25" i="14"/>
  <c r="E25" i="14"/>
  <c r="H25" i="14" s="1"/>
  <c r="Z24" i="14"/>
  <c r="AC24" i="14" s="1"/>
  <c r="S24" i="14"/>
  <c r="V24" i="14" s="1"/>
  <c r="O24" i="14"/>
  <c r="E24" i="14"/>
  <c r="H24" i="14" s="1"/>
  <c r="Z23" i="14"/>
  <c r="AC23" i="14" s="1"/>
  <c r="O23" i="14"/>
  <c r="E23" i="14"/>
  <c r="H23" i="14" s="1"/>
  <c r="Z22" i="14"/>
  <c r="AC22" i="14" s="1"/>
  <c r="S22" i="14"/>
  <c r="V22" i="14" s="1"/>
  <c r="O22" i="14"/>
  <c r="E22" i="14"/>
  <c r="H22" i="14" s="1"/>
  <c r="Z21" i="14"/>
  <c r="AC21" i="14" s="1"/>
  <c r="O21" i="14"/>
  <c r="E21" i="14"/>
  <c r="H21" i="14" s="1"/>
  <c r="O20" i="14"/>
  <c r="Z19" i="14"/>
  <c r="AC19" i="14" s="1"/>
  <c r="S19" i="14"/>
  <c r="V19" i="14" s="1"/>
  <c r="O19" i="14"/>
  <c r="E19" i="14"/>
  <c r="H19" i="14" s="1"/>
  <c r="Z18" i="14"/>
  <c r="AC18" i="14" s="1"/>
  <c r="S18" i="14"/>
  <c r="V18" i="14" s="1"/>
  <c r="O18" i="14"/>
  <c r="E18" i="14"/>
  <c r="H18" i="14" s="1"/>
  <c r="Z17" i="14"/>
  <c r="AC17" i="14" s="1"/>
  <c r="S17" i="14"/>
  <c r="V17" i="14" s="1"/>
  <c r="E17" i="14"/>
  <c r="H17" i="14" s="1"/>
  <c r="Z16" i="14"/>
  <c r="AC16" i="14" s="1"/>
  <c r="S16" i="14"/>
  <c r="V16" i="14" s="1"/>
  <c r="E16" i="14"/>
  <c r="H16" i="14" s="1"/>
  <c r="Z15" i="14"/>
  <c r="AC15" i="14" s="1"/>
  <c r="S15" i="14"/>
  <c r="V15" i="14" s="1"/>
  <c r="O15" i="14"/>
  <c r="E15" i="14"/>
  <c r="H15" i="14" s="1"/>
  <c r="Z14" i="14"/>
  <c r="AC14" i="14" s="1"/>
  <c r="S14" i="14"/>
  <c r="V14" i="14" s="1"/>
  <c r="E14" i="14"/>
  <c r="H14" i="14" s="1"/>
  <c r="Z13" i="14"/>
  <c r="AC13" i="14" s="1"/>
  <c r="S13" i="14"/>
  <c r="V13" i="14" s="1"/>
  <c r="O13" i="14"/>
  <c r="E13" i="14"/>
  <c r="H13" i="14" s="1"/>
  <c r="Z12" i="14"/>
  <c r="AC12" i="14" s="1"/>
  <c r="S12" i="14"/>
  <c r="V12" i="14" s="1"/>
  <c r="O12" i="14"/>
  <c r="E12" i="14"/>
  <c r="H12" i="14" s="1"/>
  <c r="S11" i="14"/>
  <c r="V11" i="14" s="1"/>
  <c r="O11" i="14"/>
  <c r="E11" i="14"/>
  <c r="H11" i="14" s="1"/>
  <c r="Z10" i="14"/>
  <c r="AC10" i="14" s="1"/>
  <c r="O10" i="14"/>
  <c r="E10" i="14"/>
  <c r="H10" i="14" s="1"/>
  <c r="Z9" i="14"/>
  <c r="AC9" i="14" s="1"/>
  <c r="O9" i="14"/>
  <c r="E9" i="14"/>
  <c r="H9" i="14" s="1"/>
  <c r="Z8" i="14"/>
  <c r="AC8" i="14" s="1"/>
  <c r="O8" i="14"/>
  <c r="E8" i="14"/>
  <c r="H8" i="14" s="1"/>
  <c r="S7" i="14"/>
  <c r="V7" i="14" s="1"/>
  <c r="O7" i="14"/>
  <c r="E7" i="14"/>
  <c r="H7" i="14" s="1"/>
  <c r="Z6" i="14"/>
  <c r="AC6" i="14" s="1"/>
  <c r="S6" i="14"/>
  <c r="V6" i="14" s="1"/>
  <c r="O6" i="14"/>
  <c r="E6" i="14"/>
  <c r="H6" i="14" s="1"/>
  <c r="Z5" i="14"/>
  <c r="AC5" i="14" s="1"/>
  <c r="O5" i="14"/>
  <c r="E5" i="14"/>
  <c r="H5" i="14" s="1"/>
  <c r="Z4" i="14"/>
  <c r="AC4" i="14" s="1"/>
  <c r="S4" i="14"/>
  <c r="V4" i="14" s="1"/>
  <c r="O4" i="14"/>
  <c r="E4" i="14"/>
  <c r="H4" i="14" s="1"/>
  <c r="S3" i="14"/>
  <c r="O3" i="14"/>
  <c r="E3" i="14"/>
  <c r="H3" i="14" s="1"/>
  <c r="Z52" i="13"/>
  <c r="AC52" i="13" s="1"/>
  <c r="Z51" i="13"/>
  <c r="AC51" i="13" s="1"/>
  <c r="Z50" i="13"/>
  <c r="AC50" i="13" s="1"/>
  <c r="Z49" i="13"/>
  <c r="AC49" i="13" s="1"/>
  <c r="H49" i="13"/>
  <c r="Z48" i="13"/>
  <c r="AC48" i="13" s="1"/>
  <c r="H48" i="13"/>
  <c r="Z47" i="13"/>
  <c r="AC47" i="13" s="1"/>
  <c r="H47" i="13"/>
  <c r="H46" i="13"/>
  <c r="Z45" i="13"/>
  <c r="AC45" i="13" s="1"/>
  <c r="H45" i="13"/>
  <c r="Z44" i="13"/>
  <c r="AC44" i="13" s="1"/>
  <c r="H44" i="13"/>
  <c r="H43" i="13"/>
  <c r="H42" i="13"/>
  <c r="Z41" i="13"/>
  <c r="AC41" i="13" s="1"/>
  <c r="H41" i="13"/>
  <c r="Z40" i="13"/>
  <c r="AC40" i="13" s="1"/>
  <c r="H40" i="13"/>
  <c r="Z39" i="13"/>
  <c r="AC39" i="13" s="1"/>
  <c r="H39" i="13"/>
  <c r="Z38" i="13"/>
  <c r="AC38" i="13" s="1"/>
  <c r="H38" i="13"/>
  <c r="H37" i="13"/>
  <c r="Z36" i="13"/>
  <c r="AC36" i="13" s="1"/>
  <c r="H36" i="13"/>
  <c r="H35" i="13"/>
  <c r="Z34" i="13"/>
  <c r="AC34" i="13" s="1"/>
  <c r="H34" i="13"/>
  <c r="Z33" i="13"/>
  <c r="AC33" i="13" s="1"/>
  <c r="H33" i="13"/>
  <c r="Z32" i="13"/>
  <c r="AC32" i="13" s="1"/>
  <c r="Z31" i="13"/>
  <c r="AC31" i="13" s="1"/>
  <c r="H31" i="13"/>
  <c r="Z30" i="13"/>
  <c r="AC30" i="13" s="1"/>
  <c r="H30" i="13"/>
  <c r="H29" i="13"/>
  <c r="Z28" i="13"/>
  <c r="AC28" i="13" s="1"/>
  <c r="H28" i="13"/>
  <c r="Z27" i="13"/>
  <c r="AC27" i="13" s="1"/>
  <c r="H27" i="13"/>
  <c r="H26" i="13"/>
  <c r="Z25" i="13"/>
  <c r="AC25" i="13" s="1"/>
  <c r="H25" i="13"/>
  <c r="Z24" i="13"/>
  <c r="AC24" i="13" s="1"/>
  <c r="H24" i="13"/>
  <c r="H23" i="13"/>
  <c r="Z22" i="13"/>
  <c r="AC22" i="13" s="1"/>
  <c r="H22" i="13"/>
  <c r="Z21" i="13"/>
  <c r="AC21" i="13" s="1"/>
  <c r="Z20" i="13"/>
  <c r="AC20" i="13" s="1"/>
  <c r="H20" i="13"/>
  <c r="Z18" i="13"/>
  <c r="AC18" i="13" s="1"/>
  <c r="H18" i="13"/>
  <c r="Z17" i="13"/>
  <c r="AC17" i="13" s="1"/>
  <c r="H17" i="13"/>
  <c r="Z16" i="13"/>
  <c r="AC16" i="13" s="1"/>
  <c r="H16" i="13"/>
  <c r="Z15" i="13"/>
  <c r="AC15" i="13" s="1"/>
  <c r="H15" i="13"/>
  <c r="Z14" i="13"/>
  <c r="AC14" i="13" s="1"/>
  <c r="H14" i="13"/>
  <c r="Z13" i="13"/>
  <c r="AC13" i="13" s="1"/>
  <c r="H13" i="13"/>
  <c r="Z12" i="13"/>
  <c r="AC12" i="13" s="1"/>
  <c r="H12" i="13"/>
  <c r="H11" i="13"/>
  <c r="Z10" i="13"/>
  <c r="AC10" i="13" s="1"/>
  <c r="H10" i="13"/>
  <c r="Z9" i="13"/>
  <c r="AC9" i="13" s="1"/>
  <c r="H9" i="13"/>
  <c r="Z8" i="13"/>
  <c r="AC8" i="13" s="1"/>
  <c r="H8" i="13"/>
  <c r="H7" i="13"/>
  <c r="Z6" i="13"/>
  <c r="AC6" i="13" s="1"/>
  <c r="H6" i="13"/>
  <c r="Z5" i="13"/>
  <c r="AC5" i="13" s="1"/>
  <c r="H5" i="13"/>
  <c r="Z4" i="13"/>
  <c r="AC4" i="13" s="1"/>
  <c r="H4" i="13"/>
  <c r="Z3" i="13"/>
  <c r="AC3" i="13" s="1"/>
  <c r="H3" i="13"/>
  <c r="P12" i="12"/>
  <c r="K12" i="12"/>
  <c r="P11" i="12"/>
  <c r="K11" i="12"/>
  <c r="F11" i="12"/>
  <c r="K10" i="12"/>
  <c r="F10" i="12"/>
  <c r="P9" i="12"/>
  <c r="F9" i="12"/>
  <c r="P8" i="12"/>
  <c r="K8" i="12"/>
  <c r="F8" i="12"/>
  <c r="P6" i="12"/>
  <c r="K6" i="12"/>
  <c r="F6" i="12"/>
  <c r="P5" i="12"/>
  <c r="K5" i="12"/>
  <c r="F5" i="12"/>
  <c r="P4" i="12"/>
  <c r="K4" i="12"/>
  <c r="F4" i="12"/>
  <c r="P3" i="12"/>
  <c r="K3" i="12"/>
  <c r="F3" i="12"/>
  <c r="AC46" i="11"/>
  <c r="V46" i="11"/>
  <c r="O46" i="11"/>
  <c r="AC45" i="11"/>
  <c r="V45" i="11"/>
  <c r="O45" i="11"/>
  <c r="AC44" i="11"/>
  <c r="V44" i="11"/>
  <c r="O44" i="11"/>
  <c r="V43" i="11"/>
  <c r="O43" i="11"/>
  <c r="V42" i="11"/>
  <c r="O42" i="11"/>
  <c r="V41" i="11"/>
  <c r="O41" i="11"/>
  <c r="V40" i="11"/>
  <c r="O40" i="11"/>
  <c r="AC39" i="11"/>
  <c r="V39" i="11"/>
  <c r="O39" i="11"/>
  <c r="AC38" i="11"/>
  <c r="V38" i="11"/>
  <c r="O38" i="11"/>
  <c r="V37" i="11"/>
  <c r="O37" i="11"/>
  <c r="AC36" i="11"/>
  <c r="V36" i="11"/>
  <c r="O36" i="11"/>
  <c r="AC35" i="11"/>
  <c r="V35" i="11"/>
  <c r="O35" i="11"/>
  <c r="AC34" i="11"/>
  <c r="V34" i="11"/>
  <c r="O34" i="11"/>
  <c r="AC33" i="11"/>
  <c r="V33" i="11"/>
  <c r="O33" i="11"/>
  <c r="AC31" i="11"/>
  <c r="AC30" i="11"/>
  <c r="V30" i="11"/>
  <c r="O30" i="11"/>
  <c r="AC29" i="11"/>
  <c r="V29" i="11"/>
  <c r="O29" i="11"/>
  <c r="AC28" i="11"/>
  <c r="V28" i="11"/>
  <c r="O28" i="11"/>
  <c r="AC27" i="11"/>
  <c r="V27" i="11"/>
  <c r="V26" i="11"/>
  <c r="O26" i="11"/>
  <c r="AC25" i="11"/>
  <c r="O25" i="11"/>
  <c r="AC24" i="11"/>
  <c r="V24" i="11"/>
  <c r="O24" i="11"/>
  <c r="AC23" i="11"/>
  <c r="V23" i="11"/>
  <c r="O23" i="11"/>
  <c r="AC22" i="11"/>
  <c r="V22" i="11"/>
  <c r="O22" i="11"/>
  <c r="V21" i="11"/>
  <c r="O21" i="11"/>
  <c r="AC20" i="11"/>
  <c r="V20" i="11"/>
  <c r="O20" i="11"/>
  <c r="V19" i="11"/>
  <c r="O19" i="11"/>
  <c r="AC18" i="11"/>
  <c r="V18" i="11"/>
  <c r="O18" i="11"/>
  <c r="AC17" i="11"/>
  <c r="V17" i="11"/>
  <c r="O17" i="11"/>
  <c r="V16" i="11"/>
  <c r="O16" i="11"/>
  <c r="AC15" i="11"/>
  <c r="V15" i="11"/>
  <c r="O15" i="11"/>
  <c r="AC14" i="11"/>
  <c r="V14" i="11"/>
  <c r="O14" i="11"/>
  <c r="AC13" i="11"/>
  <c r="V13" i="11"/>
  <c r="O13" i="11"/>
  <c r="AC12" i="11"/>
  <c r="V12" i="11"/>
  <c r="O12" i="11"/>
  <c r="AC11" i="11"/>
  <c r="V11" i="11"/>
  <c r="O11" i="11"/>
  <c r="AC10" i="11"/>
  <c r="V10" i="11"/>
  <c r="O10" i="11"/>
  <c r="AC9" i="11"/>
  <c r="O9" i="11"/>
  <c r="V8" i="11"/>
  <c r="O8" i="11"/>
  <c r="AC7" i="11"/>
  <c r="V7" i="11"/>
  <c r="O7" i="11"/>
  <c r="AC6" i="11"/>
  <c r="V6" i="11"/>
  <c r="AC5" i="11"/>
  <c r="V5" i="11"/>
  <c r="O5" i="11"/>
  <c r="V4" i="11"/>
  <c r="O4" i="11"/>
  <c r="AC3" i="11"/>
  <c r="V3" i="11"/>
  <c r="O3" i="11"/>
  <c r="X15" i="10"/>
  <c r="Y15" i="10" s="1"/>
  <c r="P15" i="10"/>
  <c r="Q15" i="10" s="1"/>
  <c r="X14" i="10"/>
  <c r="Y14" i="10" s="1"/>
  <c r="P14" i="10"/>
  <c r="Q14" i="10" s="1"/>
  <c r="X13" i="10"/>
  <c r="Y13" i="10" s="1"/>
  <c r="P13" i="10"/>
  <c r="Q13" i="10" s="1"/>
  <c r="H13" i="10"/>
  <c r="I13" i="10" s="1"/>
  <c r="X12" i="10"/>
  <c r="Y12" i="10" s="1"/>
  <c r="P12" i="10"/>
  <c r="Q12" i="10" s="1"/>
  <c r="H12" i="10"/>
  <c r="I12" i="10" s="1"/>
  <c r="X11" i="10"/>
  <c r="Y11" i="10" s="1"/>
  <c r="H11" i="10"/>
  <c r="I11" i="10" s="1"/>
  <c r="X10" i="10"/>
  <c r="Y10" i="10" s="1"/>
  <c r="H10" i="10"/>
  <c r="I10" i="10" s="1"/>
  <c r="X9" i="10"/>
  <c r="Y9" i="10" s="1"/>
  <c r="H9" i="10"/>
  <c r="I9" i="10" s="1"/>
  <c r="X8" i="10"/>
  <c r="Y8" i="10" s="1"/>
  <c r="P8" i="10"/>
  <c r="Q8" i="10" s="1"/>
  <c r="H8" i="10"/>
  <c r="I8" i="10" s="1"/>
  <c r="P7" i="10"/>
  <c r="Q7" i="10" s="1"/>
  <c r="H7" i="10"/>
  <c r="I7" i="10" s="1"/>
  <c r="X6" i="10"/>
  <c r="Y6" i="10" s="1"/>
  <c r="P6" i="10"/>
  <c r="Q6" i="10" s="1"/>
  <c r="H6" i="10"/>
  <c r="I6" i="10" s="1"/>
  <c r="X5" i="10"/>
  <c r="Y5" i="10" s="1"/>
  <c r="P5" i="10"/>
  <c r="Q5" i="10" s="1"/>
  <c r="H5" i="10"/>
  <c r="I5" i="10" s="1"/>
  <c r="X4" i="10"/>
  <c r="Y4" i="10" s="1"/>
  <c r="P4" i="10"/>
  <c r="Q4" i="10" s="1"/>
  <c r="H4" i="10"/>
  <c r="I4" i="10" s="1"/>
  <c r="X3" i="10"/>
  <c r="Y3" i="10" s="1"/>
  <c r="H38" i="8"/>
  <c r="X43" i="7"/>
  <c r="Y43" i="7" s="1"/>
  <c r="P43" i="7"/>
  <c r="Q43" i="7" s="1"/>
  <c r="X42" i="7"/>
  <c r="Y42" i="7" s="1"/>
  <c r="P42" i="7"/>
  <c r="Q42" i="7" s="1"/>
  <c r="X41" i="7"/>
  <c r="Y41" i="7" s="1"/>
  <c r="P41" i="7"/>
  <c r="Q41" i="7" s="1"/>
  <c r="X40" i="7"/>
  <c r="Y40" i="7" s="1"/>
  <c r="P40" i="7"/>
  <c r="Q40" i="7" s="1"/>
  <c r="X38" i="7"/>
  <c r="Y38" i="7" s="1"/>
  <c r="P38" i="7"/>
  <c r="Q38" i="7" s="1"/>
  <c r="X37" i="7"/>
  <c r="Y37" i="7" s="1"/>
  <c r="P37" i="7"/>
  <c r="Q37" i="7" s="1"/>
  <c r="X36" i="7"/>
  <c r="Y36" i="7" s="1"/>
  <c r="P36" i="7"/>
  <c r="Q36" i="7" s="1"/>
  <c r="X35" i="7"/>
  <c r="Y35" i="7" s="1"/>
  <c r="P35" i="7"/>
  <c r="Q35" i="7" s="1"/>
  <c r="X34" i="7"/>
  <c r="Y34" i="7" s="1"/>
  <c r="P34" i="7"/>
  <c r="Q34" i="7" s="1"/>
  <c r="X32" i="7"/>
  <c r="Y32" i="7" s="1"/>
  <c r="P32" i="7"/>
  <c r="Q32" i="7" s="1"/>
  <c r="X31" i="7"/>
  <c r="Y31" i="7" s="1"/>
  <c r="P31" i="7"/>
  <c r="Q31" i="7" s="1"/>
  <c r="X30" i="7"/>
  <c r="Y30" i="7" s="1"/>
  <c r="P30" i="7"/>
  <c r="Q30" i="7" s="1"/>
  <c r="X29" i="7"/>
  <c r="Y29" i="7" s="1"/>
  <c r="P29" i="7"/>
  <c r="Q29" i="7" s="1"/>
  <c r="X28" i="7"/>
  <c r="Y28" i="7" s="1"/>
  <c r="P28" i="7"/>
  <c r="Q28" i="7" s="1"/>
  <c r="X27" i="7"/>
  <c r="Y27" i="7" s="1"/>
  <c r="P27" i="7"/>
  <c r="Q27" i="7" s="1"/>
  <c r="X25" i="7"/>
  <c r="Y25" i="7" s="1"/>
  <c r="P25" i="7"/>
  <c r="Q25" i="7" s="1"/>
  <c r="X24" i="7"/>
  <c r="Y24" i="7" s="1"/>
  <c r="P24" i="7"/>
  <c r="Q24" i="7" s="1"/>
  <c r="X23" i="7"/>
  <c r="Y23" i="7" s="1"/>
  <c r="P23" i="7"/>
  <c r="Q23" i="7" s="1"/>
  <c r="X22" i="7"/>
  <c r="Y22" i="7" s="1"/>
  <c r="P22" i="7"/>
  <c r="Q22" i="7" s="1"/>
  <c r="X21" i="7"/>
  <c r="Y21" i="7" s="1"/>
  <c r="P21" i="7"/>
  <c r="Q21" i="7" s="1"/>
  <c r="X20" i="7"/>
  <c r="Y20" i="7" s="1"/>
  <c r="P20" i="7"/>
  <c r="Q20" i="7" s="1"/>
  <c r="X19" i="7"/>
  <c r="Y19" i="7" s="1"/>
  <c r="X18" i="7"/>
  <c r="Y18" i="7" s="1"/>
  <c r="P18" i="7"/>
  <c r="Q18" i="7" s="1"/>
  <c r="X17" i="7"/>
  <c r="Y17" i="7" s="1"/>
  <c r="X16" i="7"/>
  <c r="Y16" i="7" s="1"/>
  <c r="Q16" i="7"/>
  <c r="P16" i="7"/>
  <c r="X15" i="7"/>
  <c r="Y15" i="7" s="1"/>
  <c r="P15" i="7"/>
  <c r="Q15" i="7" s="1"/>
  <c r="X14" i="7"/>
  <c r="Y14" i="7" s="1"/>
  <c r="P14" i="7"/>
  <c r="Q14" i="7" s="1"/>
  <c r="X13" i="7"/>
  <c r="Y13" i="7" s="1"/>
  <c r="P13" i="7"/>
  <c r="Q13" i="7" s="1"/>
  <c r="X12" i="7"/>
  <c r="Y12" i="7" s="1"/>
  <c r="P12" i="7"/>
  <c r="Q12" i="7" s="1"/>
  <c r="X11" i="7"/>
  <c r="Y11" i="7" s="1"/>
  <c r="P11" i="7"/>
  <c r="Q11" i="7" s="1"/>
  <c r="X10" i="7"/>
  <c r="Y10" i="7" s="1"/>
  <c r="P10" i="7"/>
  <c r="Q10" i="7" s="1"/>
  <c r="X9" i="7"/>
  <c r="Y9" i="7" s="1"/>
  <c r="P9" i="7"/>
  <c r="Q9" i="7" s="1"/>
  <c r="X8" i="7"/>
  <c r="Y8" i="7" s="1"/>
  <c r="P8" i="7"/>
  <c r="Q8" i="7" s="1"/>
  <c r="X6" i="7"/>
  <c r="Y6" i="7" s="1"/>
  <c r="P5" i="7"/>
  <c r="Q5" i="7" s="1"/>
  <c r="X4" i="7"/>
  <c r="Y4" i="7" s="1"/>
  <c r="P4" i="7"/>
  <c r="Q4" i="7" s="1"/>
  <c r="X3" i="7"/>
  <c r="Y3" i="7" s="1"/>
  <c r="P3" i="7"/>
  <c r="AB50" i="6"/>
  <c r="AC50" i="6" s="1"/>
  <c r="U50" i="6"/>
  <c r="V50" i="6" s="1"/>
  <c r="N50" i="6"/>
  <c r="O50" i="6" s="1"/>
  <c r="G50" i="6"/>
  <c r="H50" i="6" s="1"/>
  <c r="AB49" i="6"/>
  <c r="AC49" i="6" s="1"/>
  <c r="U49" i="6"/>
  <c r="V49" i="6" s="1"/>
  <c r="N49" i="6"/>
  <c r="O49" i="6" s="1"/>
  <c r="G49" i="6"/>
  <c r="H49" i="6" s="1"/>
  <c r="AB48" i="6"/>
  <c r="AC48" i="6" s="1"/>
  <c r="U48" i="6"/>
  <c r="V48" i="6" s="1"/>
  <c r="N48" i="6"/>
  <c r="O48" i="6" s="1"/>
  <c r="G48" i="6"/>
  <c r="H48" i="6" s="1"/>
  <c r="AB47" i="6"/>
  <c r="AC47" i="6" s="1"/>
  <c r="G47" i="6"/>
  <c r="H47" i="6" s="1"/>
  <c r="AB45" i="6"/>
  <c r="AC45" i="6" s="1"/>
  <c r="U45" i="6"/>
  <c r="V45" i="6" s="1"/>
  <c r="N45" i="6"/>
  <c r="O45" i="6" s="1"/>
  <c r="G45" i="6"/>
  <c r="H45" i="6" s="1"/>
  <c r="AB44" i="6"/>
  <c r="AC44" i="6" s="1"/>
  <c r="N44" i="6"/>
  <c r="O44" i="6" s="1"/>
  <c r="G44" i="6"/>
  <c r="H44" i="6" s="1"/>
  <c r="AB43" i="6"/>
  <c r="AC43" i="6" s="1"/>
  <c r="U43" i="6"/>
  <c r="V43" i="6" s="1"/>
  <c r="N43" i="6"/>
  <c r="O43" i="6" s="1"/>
  <c r="AB42" i="6"/>
  <c r="AC42" i="6" s="1"/>
  <c r="N42" i="6"/>
  <c r="O42" i="6" s="1"/>
  <c r="G42" i="6"/>
  <c r="H42" i="6" s="1"/>
  <c r="AB41" i="6"/>
  <c r="AC41" i="6" s="1"/>
  <c r="U41" i="6"/>
  <c r="V41" i="6" s="1"/>
  <c r="N41" i="6"/>
  <c r="O41" i="6" s="1"/>
  <c r="G41" i="6"/>
  <c r="H41" i="6" s="1"/>
  <c r="AB40" i="6"/>
  <c r="AC40" i="6" s="1"/>
  <c r="U40" i="6"/>
  <c r="V40" i="6" s="1"/>
  <c r="N40" i="6"/>
  <c r="O40" i="6" s="1"/>
  <c r="AB39" i="6"/>
  <c r="AC39" i="6" s="1"/>
  <c r="U39" i="6"/>
  <c r="V39" i="6" s="1"/>
  <c r="N39" i="6"/>
  <c r="O39" i="6" s="1"/>
  <c r="G39" i="6"/>
  <c r="H39" i="6" s="1"/>
  <c r="AB38" i="6"/>
  <c r="AC38" i="6" s="1"/>
  <c r="U38" i="6"/>
  <c r="V38" i="6" s="1"/>
  <c r="N38" i="6"/>
  <c r="O38" i="6" s="1"/>
  <c r="G38" i="6"/>
  <c r="H38" i="6" s="1"/>
  <c r="AB37" i="6"/>
  <c r="AC37" i="6" s="1"/>
  <c r="U37" i="6"/>
  <c r="V37" i="6" s="1"/>
  <c r="N37" i="6"/>
  <c r="O37" i="6" s="1"/>
  <c r="G37" i="6"/>
  <c r="H37" i="6" s="1"/>
  <c r="AB36" i="6"/>
  <c r="AC36" i="6" s="1"/>
  <c r="U36" i="6"/>
  <c r="V36" i="6" s="1"/>
  <c r="G36" i="6"/>
  <c r="H36" i="6" s="1"/>
  <c r="AB35" i="6"/>
  <c r="AC35" i="6" s="1"/>
  <c r="N35" i="6"/>
  <c r="O35" i="6" s="1"/>
  <c r="G35" i="6"/>
  <c r="H35" i="6" s="1"/>
  <c r="AB34" i="6"/>
  <c r="AC34" i="6" s="1"/>
  <c r="U34" i="6"/>
  <c r="V34" i="6" s="1"/>
  <c r="N34" i="6"/>
  <c r="O34" i="6" s="1"/>
  <c r="G34" i="6"/>
  <c r="H34" i="6" s="1"/>
  <c r="AB33" i="6"/>
  <c r="AC33" i="6" s="1"/>
  <c r="U33" i="6"/>
  <c r="V33" i="6" s="1"/>
  <c r="G33" i="6"/>
  <c r="H33" i="6" s="1"/>
  <c r="AB32" i="6"/>
  <c r="AC32" i="6" s="1"/>
  <c r="N32" i="6"/>
  <c r="O32" i="6" s="1"/>
  <c r="G32" i="6"/>
  <c r="H32" i="6" s="1"/>
  <c r="U31" i="6"/>
  <c r="V31" i="6" s="1"/>
  <c r="N31" i="6"/>
  <c r="O31" i="6" s="1"/>
  <c r="G31" i="6"/>
  <c r="H31" i="6" s="1"/>
  <c r="AB30" i="6"/>
  <c r="AC30" i="6" s="1"/>
  <c r="U30" i="6"/>
  <c r="V30" i="6" s="1"/>
  <c r="N30" i="6"/>
  <c r="O30" i="6" s="1"/>
  <c r="N29" i="6"/>
  <c r="O29" i="6" s="1"/>
  <c r="G29" i="6"/>
  <c r="H29" i="6" s="1"/>
  <c r="AB28" i="6"/>
  <c r="AC28" i="6" s="1"/>
  <c r="U28" i="6"/>
  <c r="V28" i="6" s="1"/>
  <c r="N28" i="6"/>
  <c r="O28" i="6" s="1"/>
  <c r="G28" i="6"/>
  <c r="H28" i="6" s="1"/>
  <c r="AB27" i="6"/>
  <c r="AC27" i="6" s="1"/>
  <c r="U27" i="6"/>
  <c r="V27" i="6" s="1"/>
  <c r="N27" i="6"/>
  <c r="O27" i="6" s="1"/>
  <c r="G27" i="6"/>
  <c r="H27" i="6" s="1"/>
  <c r="AB26" i="6"/>
  <c r="AC26" i="6" s="1"/>
  <c r="U26" i="6"/>
  <c r="V26" i="6" s="1"/>
  <c r="N26" i="6"/>
  <c r="O26" i="6" s="1"/>
  <c r="AB25" i="6"/>
  <c r="AC25" i="6" s="1"/>
  <c r="U25" i="6"/>
  <c r="V25" i="6" s="1"/>
  <c r="G25" i="6"/>
  <c r="H25" i="6" s="1"/>
  <c r="AB23" i="6"/>
  <c r="AC23" i="6" s="1"/>
  <c r="U23" i="6"/>
  <c r="V23" i="6" s="1"/>
  <c r="G23" i="6"/>
  <c r="H23" i="6" s="1"/>
  <c r="AB22" i="6"/>
  <c r="AC22" i="6" s="1"/>
  <c r="U22" i="6"/>
  <c r="V22" i="6" s="1"/>
  <c r="N22" i="6"/>
  <c r="O22" i="6" s="1"/>
  <c r="G22" i="6"/>
  <c r="H22" i="6" s="1"/>
  <c r="AB21" i="6"/>
  <c r="AC21" i="6" s="1"/>
  <c r="U21" i="6"/>
  <c r="V21" i="6" s="1"/>
  <c r="N21" i="6"/>
  <c r="O21" i="6" s="1"/>
  <c r="G21" i="6"/>
  <c r="H21" i="6" s="1"/>
  <c r="AB20" i="6"/>
  <c r="AC20" i="6" s="1"/>
  <c r="U20" i="6"/>
  <c r="V20" i="6" s="1"/>
  <c r="N20" i="6"/>
  <c r="O20" i="6" s="1"/>
  <c r="G20" i="6"/>
  <c r="H20" i="6" s="1"/>
  <c r="AB19" i="6"/>
  <c r="AC19" i="6" s="1"/>
  <c r="U19" i="6"/>
  <c r="V19" i="6" s="1"/>
  <c r="N19" i="6"/>
  <c r="O19" i="6" s="1"/>
  <c r="G19" i="6"/>
  <c r="H19" i="6" s="1"/>
  <c r="AB18" i="6"/>
  <c r="AC18" i="6" s="1"/>
  <c r="U18" i="6"/>
  <c r="V18" i="6" s="1"/>
  <c r="G18" i="6"/>
  <c r="H18" i="6" s="1"/>
  <c r="AB17" i="6"/>
  <c r="AC17" i="6" s="1"/>
  <c r="N17" i="6"/>
  <c r="O17" i="6" s="1"/>
  <c r="G17" i="6"/>
  <c r="H17" i="6" s="1"/>
  <c r="AB16" i="6"/>
  <c r="AC16" i="6" s="1"/>
  <c r="U16" i="6"/>
  <c r="V16" i="6" s="1"/>
  <c r="N16" i="6"/>
  <c r="O16" i="6" s="1"/>
  <c r="G16" i="6"/>
  <c r="H16" i="6" s="1"/>
  <c r="AB15" i="6"/>
  <c r="AC15" i="6" s="1"/>
  <c r="U15" i="6"/>
  <c r="V15" i="6" s="1"/>
  <c r="N15" i="6"/>
  <c r="O15" i="6" s="1"/>
  <c r="G15" i="6"/>
  <c r="H15" i="6" s="1"/>
  <c r="AB14" i="6"/>
  <c r="AC14" i="6" s="1"/>
  <c r="U14" i="6"/>
  <c r="V14" i="6" s="1"/>
  <c r="N14" i="6"/>
  <c r="O14" i="6" s="1"/>
  <c r="G14" i="6"/>
  <c r="H14" i="6" s="1"/>
  <c r="AB13" i="6"/>
  <c r="AC13" i="6" s="1"/>
  <c r="N13" i="6"/>
  <c r="O13" i="6" s="1"/>
  <c r="G13" i="6"/>
  <c r="H13" i="6" s="1"/>
  <c r="AB12" i="6"/>
  <c r="AC12" i="6" s="1"/>
  <c r="U12" i="6"/>
  <c r="V12" i="6" s="1"/>
  <c r="N12" i="6"/>
  <c r="O12" i="6" s="1"/>
  <c r="G12" i="6"/>
  <c r="H12" i="6" s="1"/>
  <c r="AB11" i="6"/>
  <c r="AC11" i="6" s="1"/>
  <c r="U11" i="6"/>
  <c r="V11" i="6" s="1"/>
  <c r="N11" i="6"/>
  <c r="O11" i="6" s="1"/>
  <c r="G11" i="6"/>
  <c r="H11" i="6" s="1"/>
  <c r="AB10" i="6"/>
  <c r="AC10" i="6" s="1"/>
  <c r="U10" i="6"/>
  <c r="V10" i="6" s="1"/>
  <c r="N10" i="6"/>
  <c r="O10" i="6" s="1"/>
  <c r="G10" i="6"/>
  <c r="H10" i="6" s="1"/>
  <c r="AB9" i="6"/>
  <c r="AC9" i="6" s="1"/>
  <c r="N9" i="6"/>
  <c r="O9" i="6" s="1"/>
  <c r="G9" i="6"/>
  <c r="H9" i="6" s="1"/>
  <c r="AB8" i="6"/>
  <c r="AC8" i="6" s="1"/>
  <c r="N8" i="6"/>
  <c r="O8" i="6" s="1"/>
  <c r="G8" i="6"/>
  <c r="H8" i="6" s="1"/>
  <c r="AB7" i="6"/>
  <c r="AC7" i="6" s="1"/>
  <c r="U7" i="6"/>
  <c r="V7" i="6" s="1"/>
  <c r="N7" i="6"/>
  <c r="O7" i="6" s="1"/>
  <c r="G7" i="6"/>
  <c r="H7" i="6" s="1"/>
  <c r="AB6" i="6"/>
  <c r="AC6" i="6" s="1"/>
  <c r="U6" i="6"/>
  <c r="V6" i="6" s="1"/>
  <c r="N6" i="6"/>
  <c r="G6" i="6"/>
  <c r="H6" i="6" s="1"/>
  <c r="AB5" i="6"/>
  <c r="AC5" i="6" s="1"/>
  <c r="AB4" i="6"/>
  <c r="U4" i="6"/>
  <c r="V4" i="6" s="1"/>
  <c r="G4" i="6"/>
  <c r="H4" i="6" s="1"/>
  <c r="AB3" i="6"/>
  <c r="AC3" i="6" s="1"/>
  <c r="U3" i="6"/>
  <c r="V3" i="6" s="1"/>
  <c r="N3" i="6"/>
  <c r="O3" i="6" s="1"/>
  <c r="G3" i="6"/>
  <c r="H3" i="6" s="1"/>
  <c r="AC46" i="5"/>
  <c r="AB46" i="5"/>
  <c r="V46" i="5"/>
  <c r="AC45" i="5"/>
  <c r="AB45" i="5"/>
  <c r="V45" i="5"/>
  <c r="U45" i="5"/>
  <c r="O45" i="5"/>
  <c r="N45" i="5"/>
  <c r="H45" i="5"/>
  <c r="G45" i="5"/>
  <c r="AC44" i="5"/>
  <c r="AB44" i="5"/>
  <c r="V44" i="5"/>
  <c r="U44" i="5"/>
  <c r="O44" i="5"/>
  <c r="N44" i="5"/>
  <c r="H44" i="5"/>
  <c r="G44" i="5"/>
  <c r="AC43" i="5"/>
  <c r="AB43" i="5"/>
  <c r="V43" i="5"/>
  <c r="U43" i="5"/>
  <c r="O43" i="5"/>
  <c r="N43" i="5"/>
  <c r="H43" i="5"/>
  <c r="G43" i="5"/>
  <c r="AC42" i="5"/>
  <c r="AB42" i="5"/>
  <c r="V42" i="5"/>
  <c r="U42" i="5"/>
  <c r="O42" i="5"/>
  <c r="N42" i="5"/>
  <c r="H42" i="5"/>
  <c r="G42" i="5"/>
  <c r="AC41" i="5"/>
  <c r="AB41" i="5"/>
  <c r="V41" i="5"/>
  <c r="U41" i="5"/>
  <c r="O41" i="5"/>
  <c r="N41" i="5"/>
  <c r="H41" i="5"/>
  <c r="G41" i="5"/>
  <c r="AC40" i="5"/>
  <c r="AB40" i="5"/>
  <c r="V40" i="5"/>
  <c r="U40" i="5"/>
  <c r="O40" i="5"/>
  <c r="N40" i="5"/>
  <c r="H40" i="5"/>
  <c r="G40" i="5"/>
  <c r="AC39" i="5"/>
  <c r="AB39" i="5"/>
  <c r="V39" i="5"/>
  <c r="U39" i="5"/>
  <c r="O39" i="5"/>
  <c r="N39" i="5"/>
  <c r="H39" i="5"/>
  <c r="G39" i="5"/>
  <c r="AC38" i="5"/>
  <c r="AB38" i="5"/>
  <c r="V38" i="5"/>
  <c r="U38" i="5"/>
  <c r="O38" i="5"/>
  <c r="N38" i="5"/>
  <c r="H38" i="5"/>
  <c r="G38" i="5"/>
  <c r="AC37" i="5"/>
  <c r="AB37" i="5"/>
  <c r="V37" i="5"/>
  <c r="U37" i="5"/>
  <c r="O37" i="5"/>
  <c r="N37" i="5"/>
  <c r="H37" i="5"/>
  <c r="G37" i="5"/>
  <c r="AC36" i="5"/>
  <c r="AB36" i="5"/>
  <c r="V36" i="5"/>
  <c r="U36" i="5"/>
  <c r="O36" i="5"/>
  <c r="N36" i="5"/>
  <c r="H36" i="5"/>
  <c r="G36" i="5"/>
  <c r="AC35" i="5"/>
  <c r="AB35" i="5"/>
  <c r="V35" i="5"/>
  <c r="U35" i="5"/>
  <c r="O35" i="5"/>
  <c r="N35" i="5"/>
  <c r="H35" i="5"/>
  <c r="G35" i="5"/>
  <c r="AC34" i="5"/>
  <c r="AB34" i="5"/>
  <c r="V34" i="5"/>
  <c r="U34" i="5"/>
  <c r="O34" i="5"/>
  <c r="N34" i="5"/>
  <c r="H34" i="5"/>
  <c r="G34" i="5"/>
  <c r="AC33" i="5"/>
  <c r="AB33" i="5"/>
  <c r="V33" i="5"/>
  <c r="U33" i="5"/>
  <c r="O33" i="5"/>
  <c r="N33" i="5"/>
  <c r="H33" i="5"/>
  <c r="G33" i="5"/>
  <c r="AC32" i="5"/>
  <c r="AB32" i="5"/>
  <c r="V32" i="5"/>
  <c r="U32" i="5"/>
  <c r="H32" i="5"/>
  <c r="G32" i="5"/>
  <c r="AC31" i="5"/>
  <c r="AB31" i="5"/>
  <c r="V31" i="5"/>
  <c r="U31" i="5"/>
  <c r="H31" i="5"/>
  <c r="G31" i="5"/>
  <c r="AC30" i="5"/>
  <c r="AB30" i="5"/>
  <c r="V30" i="5"/>
  <c r="U30" i="5"/>
  <c r="H30" i="5"/>
  <c r="G30" i="5"/>
  <c r="AC29" i="5"/>
  <c r="AB29" i="5"/>
  <c r="V29" i="5"/>
  <c r="U29" i="5"/>
  <c r="O29" i="5"/>
  <c r="N29" i="5"/>
  <c r="H29" i="5"/>
  <c r="G29" i="5"/>
  <c r="AC28" i="5"/>
  <c r="AB28" i="5"/>
  <c r="V28" i="5"/>
  <c r="U28" i="5"/>
  <c r="O28" i="5"/>
  <c r="N28" i="5"/>
  <c r="H28" i="5"/>
  <c r="G28" i="5"/>
  <c r="AC27" i="5"/>
  <c r="AB27" i="5"/>
  <c r="V27" i="5"/>
  <c r="U27" i="5"/>
  <c r="O27" i="5"/>
  <c r="N27" i="5"/>
  <c r="H27" i="5"/>
  <c r="G27" i="5"/>
  <c r="AC26" i="5"/>
  <c r="AB26" i="5"/>
  <c r="V26" i="5"/>
  <c r="U26" i="5"/>
  <c r="H26" i="5"/>
  <c r="G26" i="5"/>
  <c r="AC25" i="5"/>
  <c r="AB25" i="5"/>
  <c r="V25" i="5"/>
  <c r="U25" i="5"/>
  <c r="O25" i="5"/>
  <c r="N25" i="5"/>
  <c r="H25" i="5"/>
  <c r="G25" i="5"/>
  <c r="AC24" i="5"/>
  <c r="AB24" i="5"/>
  <c r="V24" i="5"/>
  <c r="U24" i="5"/>
  <c r="H24" i="5"/>
  <c r="G24" i="5"/>
  <c r="AC23" i="5"/>
  <c r="AB23" i="5"/>
  <c r="V23" i="5"/>
  <c r="U23" i="5"/>
  <c r="O23" i="5"/>
  <c r="N23" i="5"/>
  <c r="H23" i="5"/>
  <c r="G23" i="5"/>
  <c r="AC22" i="5"/>
  <c r="AB22" i="5"/>
  <c r="V22" i="5"/>
  <c r="U22" i="5"/>
  <c r="O22" i="5"/>
  <c r="N22" i="5"/>
  <c r="H22" i="5"/>
  <c r="G22" i="5"/>
  <c r="AC21" i="5"/>
  <c r="AB21" i="5"/>
  <c r="V21" i="5"/>
  <c r="U21" i="5"/>
  <c r="O21" i="5"/>
  <c r="N21" i="5"/>
  <c r="H21" i="5"/>
  <c r="G21" i="5"/>
  <c r="AC20" i="5"/>
  <c r="AB20" i="5"/>
  <c r="V20" i="5"/>
  <c r="U20" i="5"/>
  <c r="H20" i="5"/>
  <c r="G20" i="5"/>
  <c r="AC19" i="5"/>
  <c r="AB19" i="5"/>
  <c r="V19" i="5"/>
  <c r="U19" i="5"/>
  <c r="O19" i="5"/>
  <c r="N19" i="5"/>
  <c r="H19" i="5"/>
  <c r="G19" i="5"/>
  <c r="AC18" i="5"/>
  <c r="AB18" i="5"/>
  <c r="V18" i="5"/>
  <c r="U18" i="5"/>
  <c r="O18" i="5"/>
  <c r="N18" i="5"/>
  <c r="H18" i="5"/>
  <c r="G18" i="5"/>
  <c r="AC17" i="5"/>
  <c r="AB17" i="5"/>
  <c r="V17" i="5"/>
  <c r="U17" i="5"/>
  <c r="O17" i="5"/>
  <c r="N17" i="5"/>
  <c r="H17" i="5"/>
  <c r="G17" i="5"/>
  <c r="AC16" i="5"/>
  <c r="AB16" i="5"/>
  <c r="V16" i="5"/>
  <c r="U16" i="5"/>
  <c r="O16" i="5"/>
  <c r="N16" i="5"/>
  <c r="H16" i="5"/>
  <c r="G16" i="5"/>
  <c r="AC15" i="5"/>
  <c r="AB15" i="5"/>
  <c r="V15" i="5"/>
  <c r="U15" i="5"/>
  <c r="O15" i="5"/>
  <c r="N15" i="5"/>
  <c r="H15" i="5"/>
  <c r="G15" i="5"/>
  <c r="AC14" i="5"/>
  <c r="AB14" i="5"/>
  <c r="V14" i="5"/>
  <c r="U14" i="5"/>
  <c r="O14" i="5"/>
  <c r="N14" i="5"/>
  <c r="H14" i="5"/>
  <c r="G14" i="5"/>
  <c r="AC13" i="5"/>
  <c r="AB13" i="5"/>
  <c r="V13" i="5"/>
  <c r="U13" i="5"/>
  <c r="O13" i="5"/>
  <c r="N13" i="5"/>
  <c r="H13" i="5"/>
  <c r="G13" i="5"/>
  <c r="AC12" i="5"/>
  <c r="AB12" i="5"/>
  <c r="V12" i="5"/>
  <c r="U12" i="5"/>
  <c r="O12" i="5"/>
  <c r="N12" i="5"/>
  <c r="H12" i="5"/>
  <c r="G12" i="5"/>
  <c r="AC11" i="5"/>
  <c r="AB11" i="5"/>
  <c r="V11" i="5"/>
  <c r="U11" i="5"/>
  <c r="O11" i="5"/>
  <c r="N11" i="5"/>
  <c r="H11" i="5"/>
  <c r="G11" i="5"/>
  <c r="AC10" i="5"/>
  <c r="AB10" i="5"/>
  <c r="V10" i="5"/>
  <c r="U10" i="5"/>
  <c r="O10" i="5"/>
  <c r="N10" i="5"/>
  <c r="H10" i="5"/>
  <c r="G10" i="5"/>
  <c r="AC9" i="5"/>
  <c r="AB9" i="5"/>
  <c r="V9" i="5"/>
  <c r="U9" i="5"/>
  <c r="O9" i="5"/>
  <c r="N9" i="5"/>
  <c r="H9" i="5"/>
  <c r="G9" i="5"/>
  <c r="AC8" i="5"/>
  <c r="AB8" i="5"/>
  <c r="V8" i="5"/>
  <c r="U8" i="5"/>
  <c r="O8" i="5"/>
  <c r="N8" i="5"/>
  <c r="H8" i="5"/>
  <c r="G8" i="5"/>
  <c r="AC7" i="5"/>
  <c r="AB7" i="5"/>
  <c r="V7" i="5"/>
  <c r="U7" i="5"/>
  <c r="O7" i="5"/>
  <c r="N7" i="5"/>
  <c r="H7" i="5"/>
  <c r="G7" i="5"/>
  <c r="AC6" i="5"/>
  <c r="AB6" i="5"/>
  <c r="V6" i="5"/>
  <c r="U6" i="5"/>
  <c r="O6" i="5"/>
  <c r="N6" i="5"/>
  <c r="H6" i="5"/>
  <c r="G6" i="5"/>
  <c r="AC5" i="5"/>
  <c r="AB5" i="5"/>
  <c r="V5" i="5"/>
  <c r="U5" i="5"/>
  <c r="O5" i="5"/>
  <c r="N5" i="5"/>
  <c r="H5" i="5"/>
  <c r="G5" i="5"/>
  <c r="AC4" i="5"/>
  <c r="AB4" i="5"/>
  <c r="V4" i="5"/>
  <c r="U4" i="5"/>
  <c r="O4" i="5"/>
  <c r="N4" i="5"/>
  <c r="H4" i="5"/>
  <c r="G4" i="5"/>
  <c r="AC3" i="5"/>
  <c r="AB3" i="5"/>
  <c r="V3" i="5"/>
  <c r="U3" i="5"/>
  <c r="O3" i="5"/>
  <c r="N3" i="5"/>
  <c r="H3" i="5"/>
  <c r="G3" i="5"/>
  <c r="AA43" i="4"/>
  <c r="Z43" i="4"/>
  <c r="Y43" i="4"/>
  <c r="X43" i="4"/>
  <c r="W43" i="4"/>
  <c r="T43" i="4"/>
  <c r="S43" i="4"/>
  <c r="R43" i="4"/>
  <c r="Q43" i="4"/>
  <c r="P43" i="4"/>
  <c r="M43" i="4"/>
  <c r="L43" i="4"/>
  <c r="K43" i="4"/>
  <c r="J43" i="4"/>
  <c r="I43" i="4"/>
  <c r="F43" i="4"/>
  <c r="E43" i="4"/>
  <c r="D43" i="4"/>
  <c r="C43" i="4"/>
  <c r="B43" i="4"/>
  <c r="AB42" i="4"/>
  <c r="AC42" i="4" s="1"/>
  <c r="U42" i="4"/>
  <c r="V42" i="4" s="1"/>
  <c r="N42" i="4"/>
  <c r="O42" i="4" s="1"/>
  <c r="H42" i="4"/>
  <c r="G42" i="4"/>
  <c r="AB41" i="4"/>
  <c r="AC41" i="4" s="1"/>
  <c r="U41" i="4"/>
  <c r="V41" i="4" s="1"/>
  <c r="N41" i="4"/>
  <c r="O41" i="4" s="1"/>
  <c r="H41" i="4"/>
  <c r="G41" i="4"/>
  <c r="AB40" i="4"/>
  <c r="AC40" i="4" s="1"/>
  <c r="O40" i="4"/>
  <c r="N40" i="4"/>
  <c r="H40" i="4"/>
  <c r="G40" i="4"/>
  <c r="AB39" i="4"/>
  <c r="AC39" i="4" s="1"/>
  <c r="U39" i="4"/>
  <c r="V39" i="4" s="1"/>
  <c r="N39" i="4"/>
  <c r="O39" i="4" s="1"/>
  <c r="H39" i="4"/>
  <c r="G39" i="4"/>
  <c r="AB38" i="4"/>
  <c r="AC38" i="4" s="1"/>
  <c r="U38" i="4"/>
  <c r="V38" i="4" s="1"/>
  <c r="N38" i="4"/>
  <c r="O38" i="4" s="1"/>
  <c r="H38" i="4"/>
  <c r="G38" i="4"/>
  <c r="AB37" i="4"/>
  <c r="AC37" i="4" s="1"/>
  <c r="U37" i="4"/>
  <c r="V37" i="4" s="1"/>
  <c r="N37" i="4"/>
  <c r="O37" i="4" s="1"/>
  <c r="H37" i="4"/>
  <c r="G37" i="4"/>
  <c r="AB36" i="4"/>
  <c r="AC36" i="4" s="1"/>
  <c r="U36" i="4"/>
  <c r="V36" i="4" s="1"/>
  <c r="N36" i="4"/>
  <c r="O36" i="4" s="1"/>
  <c r="H36" i="4"/>
  <c r="G36" i="4"/>
  <c r="AB35" i="4"/>
  <c r="AC35" i="4" s="1"/>
  <c r="U35" i="4"/>
  <c r="V35" i="4" s="1"/>
  <c r="N35" i="4"/>
  <c r="O35" i="4" s="1"/>
  <c r="H35" i="4"/>
  <c r="G35" i="4"/>
  <c r="AB34" i="4"/>
  <c r="AC34" i="4" s="1"/>
  <c r="U34" i="4"/>
  <c r="V34" i="4" s="1"/>
  <c r="N34" i="4"/>
  <c r="O34" i="4" s="1"/>
  <c r="H34" i="4"/>
  <c r="G34" i="4"/>
  <c r="AB33" i="4"/>
  <c r="AC33" i="4" s="1"/>
  <c r="U33" i="4"/>
  <c r="V33" i="4" s="1"/>
  <c r="N33" i="4"/>
  <c r="O33" i="4" s="1"/>
  <c r="H33" i="4"/>
  <c r="G33" i="4"/>
  <c r="AB32" i="4"/>
  <c r="AC32" i="4" s="1"/>
  <c r="U32" i="4"/>
  <c r="V32" i="4" s="1"/>
  <c r="N32" i="4"/>
  <c r="O32" i="4" s="1"/>
  <c r="H32" i="4"/>
  <c r="G32" i="4"/>
  <c r="AB31" i="4"/>
  <c r="AC31" i="4" s="1"/>
  <c r="O31" i="4"/>
  <c r="N31" i="4"/>
  <c r="H31" i="4"/>
  <c r="G31" i="4"/>
  <c r="AB30" i="4"/>
  <c r="AC30" i="4" s="1"/>
  <c r="U30" i="4"/>
  <c r="V30" i="4" s="1"/>
  <c r="N30" i="4"/>
  <c r="O30" i="4" s="1"/>
  <c r="H30" i="4"/>
  <c r="G30" i="4"/>
  <c r="AB29" i="4"/>
  <c r="AC29" i="4" s="1"/>
  <c r="U29" i="4"/>
  <c r="V29" i="4" s="1"/>
  <c r="N29" i="4"/>
  <c r="O29" i="4" s="1"/>
  <c r="H29" i="4"/>
  <c r="G29" i="4"/>
  <c r="AB28" i="4"/>
  <c r="AC28" i="4" s="1"/>
  <c r="U28" i="4"/>
  <c r="V28" i="4" s="1"/>
  <c r="N28" i="4"/>
  <c r="O28" i="4" s="1"/>
  <c r="H28" i="4"/>
  <c r="G28" i="4"/>
  <c r="U27" i="4"/>
  <c r="V27" i="4" s="1"/>
  <c r="N27" i="4"/>
  <c r="O27" i="4" s="1"/>
  <c r="H27" i="4"/>
  <c r="G27" i="4"/>
  <c r="AB26" i="4"/>
  <c r="AC26" i="4" s="1"/>
  <c r="U26" i="4"/>
  <c r="V26" i="4" s="1"/>
  <c r="N26" i="4"/>
  <c r="O26" i="4" s="1"/>
  <c r="H26" i="4"/>
  <c r="G26" i="4"/>
  <c r="AB25" i="4"/>
  <c r="AC25" i="4" s="1"/>
  <c r="U25" i="4"/>
  <c r="V25" i="4" s="1"/>
  <c r="N25" i="4"/>
  <c r="O25" i="4" s="1"/>
  <c r="H25" i="4"/>
  <c r="G25" i="4"/>
  <c r="AB24" i="4"/>
  <c r="AC24" i="4" s="1"/>
  <c r="U24" i="4"/>
  <c r="V24" i="4" s="1"/>
  <c r="N24" i="4"/>
  <c r="O24" i="4" s="1"/>
  <c r="H24" i="4"/>
  <c r="G24" i="4"/>
  <c r="AB23" i="4"/>
  <c r="AC23" i="4" s="1"/>
  <c r="U23" i="4"/>
  <c r="V23" i="4" s="1"/>
  <c r="N23" i="4"/>
  <c r="O23" i="4" s="1"/>
  <c r="H23" i="4"/>
  <c r="G23" i="4"/>
  <c r="AB22" i="4"/>
  <c r="AC22" i="4" s="1"/>
  <c r="U22" i="4"/>
  <c r="V22" i="4" s="1"/>
  <c r="N22" i="4"/>
  <c r="O22" i="4" s="1"/>
  <c r="H22" i="4"/>
  <c r="G22" i="4"/>
  <c r="AB21" i="4"/>
  <c r="AC21" i="4" s="1"/>
  <c r="U21" i="4"/>
  <c r="V21" i="4" s="1"/>
  <c r="N21" i="4"/>
  <c r="O21" i="4" s="1"/>
  <c r="H21" i="4"/>
  <c r="G21" i="4"/>
  <c r="AB20" i="4"/>
  <c r="AC20" i="4" s="1"/>
  <c r="U20" i="4"/>
  <c r="V20" i="4" s="1"/>
  <c r="N20" i="4"/>
  <c r="O20" i="4" s="1"/>
  <c r="H20" i="4"/>
  <c r="G20" i="4"/>
  <c r="AB19" i="4"/>
  <c r="AC19" i="4" s="1"/>
  <c r="U19" i="4"/>
  <c r="V19" i="4" s="1"/>
  <c r="N19" i="4"/>
  <c r="O19" i="4" s="1"/>
  <c r="H19" i="4"/>
  <c r="G19" i="4"/>
  <c r="AB18" i="4"/>
  <c r="AC18" i="4" s="1"/>
  <c r="U18" i="4"/>
  <c r="V18" i="4" s="1"/>
  <c r="N18" i="4"/>
  <c r="O18" i="4" s="1"/>
  <c r="H18" i="4"/>
  <c r="G18" i="4"/>
  <c r="AB17" i="4"/>
  <c r="AC17" i="4" s="1"/>
  <c r="U17" i="4"/>
  <c r="V17" i="4" s="1"/>
  <c r="N17" i="4"/>
  <c r="O17" i="4" s="1"/>
  <c r="H17" i="4"/>
  <c r="G17" i="4"/>
  <c r="AB16" i="4"/>
  <c r="AC16" i="4" s="1"/>
  <c r="U16" i="4"/>
  <c r="V16" i="4" s="1"/>
  <c r="N16" i="4"/>
  <c r="O16" i="4" s="1"/>
  <c r="H16" i="4"/>
  <c r="G16" i="4"/>
  <c r="AB15" i="4"/>
  <c r="AC15" i="4" s="1"/>
  <c r="U15" i="4"/>
  <c r="V15" i="4" s="1"/>
  <c r="N15" i="4"/>
  <c r="O15" i="4" s="1"/>
  <c r="H15" i="4"/>
  <c r="G15" i="4"/>
  <c r="AB14" i="4"/>
  <c r="AC14" i="4" s="1"/>
  <c r="H14" i="4"/>
  <c r="G14" i="4"/>
  <c r="AB13" i="4"/>
  <c r="AC13" i="4" s="1"/>
  <c r="U13" i="4"/>
  <c r="V13" i="4" s="1"/>
  <c r="N13" i="4"/>
  <c r="O13" i="4" s="1"/>
  <c r="H13" i="4"/>
  <c r="G13" i="4"/>
  <c r="AB12" i="4"/>
  <c r="AC12" i="4" s="1"/>
  <c r="U12" i="4"/>
  <c r="V12" i="4" s="1"/>
  <c r="N12" i="4"/>
  <c r="O12" i="4" s="1"/>
  <c r="H12" i="4"/>
  <c r="G12" i="4"/>
  <c r="AB11" i="4"/>
  <c r="AC11" i="4" s="1"/>
  <c r="U11" i="4"/>
  <c r="V11" i="4" s="1"/>
  <c r="N11" i="4"/>
  <c r="O11" i="4" s="1"/>
  <c r="H11" i="4"/>
  <c r="G11" i="4"/>
  <c r="AB10" i="4"/>
  <c r="AC10" i="4" s="1"/>
  <c r="U10" i="4"/>
  <c r="V10" i="4" s="1"/>
  <c r="N10" i="4"/>
  <c r="O10" i="4" s="1"/>
  <c r="H10" i="4"/>
  <c r="G10" i="4"/>
  <c r="AB9" i="4"/>
  <c r="AC9" i="4" s="1"/>
  <c r="U9" i="4"/>
  <c r="V9" i="4" s="1"/>
  <c r="N9" i="4"/>
  <c r="O9" i="4" s="1"/>
  <c r="H9" i="4"/>
  <c r="G9" i="4"/>
  <c r="AB8" i="4"/>
  <c r="AC8" i="4" s="1"/>
  <c r="U8" i="4"/>
  <c r="V8" i="4" s="1"/>
  <c r="N8" i="4"/>
  <c r="O8" i="4" s="1"/>
  <c r="H8" i="4"/>
  <c r="G8" i="4"/>
  <c r="AB7" i="4"/>
  <c r="AC7" i="4" s="1"/>
  <c r="U7" i="4"/>
  <c r="V7" i="4" s="1"/>
  <c r="N7" i="4"/>
  <c r="O7" i="4" s="1"/>
  <c r="H7" i="4"/>
  <c r="G7" i="4"/>
  <c r="AB6" i="4"/>
  <c r="AC6" i="4" s="1"/>
  <c r="U6" i="4"/>
  <c r="V6" i="4" s="1"/>
  <c r="N6" i="4"/>
  <c r="O6" i="4" s="1"/>
  <c r="H6" i="4"/>
  <c r="G6" i="4"/>
  <c r="AB5" i="4"/>
  <c r="AC5" i="4" s="1"/>
  <c r="U5" i="4"/>
  <c r="V5" i="4" s="1"/>
  <c r="N5" i="4"/>
  <c r="O5" i="4" s="1"/>
  <c r="H5" i="4"/>
  <c r="G5" i="4"/>
  <c r="AB4" i="4"/>
  <c r="AC4" i="4" s="1"/>
  <c r="U4" i="4"/>
  <c r="V4" i="4" s="1"/>
  <c r="N4" i="4"/>
  <c r="O4" i="4" s="1"/>
  <c r="H4" i="4"/>
  <c r="G4" i="4"/>
  <c r="AC3" i="4"/>
  <c r="AB3" i="4"/>
  <c r="U3" i="4"/>
  <c r="N3" i="4"/>
  <c r="H3" i="4"/>
  <c r="G3" i="4"/>
  <c r="AG32" i="3"/>
  <c r="AF32" i="3"/>
  <c r="Y32" i="3"/>
  <c r="X32" i="3"/>
  <c r="Q32" i="3"/>
  <c r="AG31" i="3"/>
  <c r="AF31" i="3"/>
  <c r="Y31" i="3"/>
  <c r="X31" i="3"/>
  <c r="Q31" i="3"/>
  <c r="H31" i="3"/>
  <c r="I31" i="3" s="1"/>
  <c r="AG30" i="3"/>
  <c r="AF30" i="3"/>
  <c r="Y30" i="3"/>
  <c r="X30" i="3"/>
  <c r="H30" i="3"/>
  <c r="I30" i="3" s="1"/>
  <c r="AG29" i="3"/>
  <c r="AF29" i="3"/>
  <c r="Y29" i="3"/>
  <c r="X29" i="3"/>
  <c r="H29" i="3"/>
  <c r="I29" i="3" s="1"/>
  <c r="AG28" i="3"/>
  <c r="AF28" i="3"/>
  <c r="Y28" i="3"/>
  <c r="X28" i="3"/>
  <c r="Q28" i="3"/>
  <c r="H28" i="3"/>
  <c r="I28" i="3" s="1"/>
  <c r="AG27" i="3"/>
  <c r="AF27" i="3"/>
  <c r="Y27" i="3"/>
  <c r="X27" i="3"/>
  <c r="Q27" i="3"/>
  <c r="I27" i="3"/>
  <c r="H27" i="3"/>
  <c r="AG26" i="3"/>
  <c r="AF26" i="3"/>
  <c r="Q26" i="3"/>
  <c r="H26" i="3"/>
  <c r="I26" i="3" s="1"/>
  <c r="AG25" i="3"/>
  <c r="AF25" i="3"/>
  <c r="Y25" i="3"/>
  <c r="X25" i="3"/>
  <c r="Q25" i="3"/>
  <c r="AG24" i="3"/>
  <c r="AF24" i="3"/>
  <c r="Y24" i="3"/>
  <c r="X24" i="3"/>
  <c r="Q24" i="3"/>
  <c r="H24" i="3"/>
  <c r="I24" i="3" s="1"/>
  <c r="AG23" i="3"/>
  <c r="AF23" i="3"/>
  <c r="Q23" i="3"/>
  <c r="H23" i="3"/>
  <c r="I23" i="3" s="1"/>
  <c r="AG22" i="3"/>
  <c r="AF22" i="3"/>
  <c r="Y22" i="3"/>
  <c r="X22" i="3"/>
  <c r="H22" i="3"/>
  <c r="I22" i="3" s="1"/>
  <c r="AG21" i="3"/>
  <c r="AF21" i="3"/>
  <c r="Y21" i="3"/>
  <c r="X21" i="3"/>
  <c r="Q21" i="3"/>
  <c r="I21" i="3"/>
  <c r="H21" i="3"/>
  <c r="AG20" i="3"/>
  <c r="AF20" i="3"/>
  <c r="Q20" i="3"/>
  <c r="Y19" i="3"/>
  <c r="X19" i="3"/>
  <c r="Q19" i="3"/>
  <c r="H19" i="3"/>
  <c r="I19" i="3" s="1"/>
  <c r="Y18" i="3"/>
  <c r="X18" i="3"/>
  <c r="AG17" i="3"/>
  <c r="AF17" i="3"/>
  <c r="Y17" i="3"/>
  <c r="X17" i="3"/>
  <c r="Q17" i="3"/>
  <c r="Y16" i="3"/>
  <c r="X16" i="3"/>
  <c r="AG15" i="3"/>
  <c r="AF15" i="3"/>
  <c r="Y15" i="3"/>
  <c r="X15" i="3"/>
  <c r="Q15" i="3"/>
  <c r="H15" i="3"/>
  <c r="I15" i="3" s="1"/>
  <c r="AG13" i="3"/>
  <c r="AF13" i="3"/>
  <c r="Y13" i="3"/>
  <c r="X13" i="3"/>
  <c r="Q13" i="3"/>
  <c r="H13" i="3"/>
  <c r="I13" i="3" s="1"/>
  <c r="AG12" i="3"/>
  <c r="AF12" i="3"/>
  <c r="Y12" i="3"/>
  <c r="X12" i="3"/>
  <c r="Q12" i="3"/>
  <c r="H12" i="3"/>
  <c r="I12" i="3" s="1"/>
  <c r="H11" i="3"/>
  <c r="I11" i="3" s="1"/>
  <c r="AG10" i="3"/>
  <c r="AF10" i="3"/>
  <c r="Y10" i="3"/>
  <c r="X10" i="3"/>
  <c r="Q10" i="3"/>
  <c r="H10" i="3"/>
  <c r="I10" i="3" s="1"/>
  <c r="AG9" i="3"/>
  <c r="AF9" i="3"/>
  <c r="Y9" i="3"/>
  <c r="X9" i="3"/>
  <c r="Q9" i="3"/>
  <c r="H9" i="3"/>
  <c r="I9" i="3" s="1"/>
  <c r="AG8" i="3"/>
  <c r="AF8" i="3"/>
  <c r="Y8" i="3"/>
  <c r="X8" i="3"/>
  <c r="H8" i="3"/>
  <c r="I8" i="3" s="1"/>
  <c r="AG7" i="3"/>
  <c r="AF7" i="3"/>
  <c r="Y7" i="3"/>
  <c r="X7" i="3"/>
  <c r="Q7" i="3"/>
  <c r="H7" i="3"/>
  <c r="I7" i="3" s="1"/>
  <c r="AG6" i="3"/>
  <c r="AF6" i="3"/>
  <c r="Y6" i="3"/>
  <c r="X6" i="3"/>
  <c r="H6" i="3"/>
  <c r="I6" i="3" s="1"/>
  <c r="AG5" i="3"/>
  <c r="AF5" i="3"/>
  <c r="Y5" i="3"/>
  <c r="X5" i="3"/>
  <c r="Q5" i="3"/>
  <c r="H5" i="3"/>
  <c r="I5" i="3" s="1"/>
  <c r="AG4" i="3"/>
  <c r="AF4" i="3"/>
  <c r="Y4" i="3"/>
  <c r="X4" i="3"/>
  <c r="Q4" i="3"/>
  <c r="H4" i="3"/>
  <c r="I4" i="3" s="1"/>
  <c r="AG3" i="3"/>
  <c r="AF3" i="3"/>
  <c r="Y3" i="3"/>
  <c r="X3" i="3"/>
  <c r="Q3" i="3"/>
  <c r="P3" i="3"/>
  <c r="H3" i="3"/>
  <c r="I3" i="3" s="1"/>
  <c r="AC28" i="1"/>
  <c r="AB28" i="1"/>
  <c r="AC26" i="1"/>
  <c r="AB26" i="1"/>
  <c r="AC24" i="1"/>
  <c r="AB24" i="1"/>
  <c r="AC23" i="1"/>
  <c r="AB23" i="1"/>
  <c r="AC21" i="1"/>
  <c r="AB21" i="1"/>
  <c r="AC20" i="1"/>
  <c r="AB20" i="1"/>
  <c r="AC19" i="1"/>
  <c r="AB19" i="1"/>
  <c r="AC18" i="1"/>
  <c r="AB18" i="1"/>
  <c r="AC17" i="1"/>
  <c r="AB17" i="1"/>
  <c r="AC15" i="1"/>
  <c r="AB15" i="1"/>
  <c r="AC14" i="1"/>
  <c r="AB14" i="1"/>
  <c r="AC12" i="1"/>
  <c r="AB12" i="1"/>
  <c r="AC11" i="1"/>
  <c r="AB11" i="1"/>
  <c r="AC10" i="1"/>
  <c r="AB10" i="1"/>
  <c r="AC8" i="1"/>
  <c r="AB8" i="1"/>
  <c r="AC7" i="1"/>
  <c r="AB7" i="1"/>
  <c r="AC6" i="1"/>
  <c r="AB6" i="1"/>
  <c r="AC5" i="1"/>
  <c r="AB5" i="1"/>
  <c r="AC4" i="1"/>
  <c r="AB4" i="1"/>
  <c r="AC3" i="1"/>
  <c r="AB3" i="1"/>
  <c r="V3" i="14" l="1"/>
  <c r="Q3" i="7"/>
  <c r="AC4" i="6"/>
  <c r="O6" i="6"/>
  <c r="G43" i="4"/>
  <c r="H43" i="4"/>
  <c r="N43" i="4"/>
  <c r="O3" i="4"/>
  <c r="U43" i="4"/>
  <c r="V43" i="4" s="1"/>
  <c r="V3" i="4"/>
  <c r="AB43" i="4"/>
  <c r="AC43" i="4" s="1"/>
  <c r="O43" i="4"/>
</calcChain>
</file>

<file path=xl/sharedStrings.xml><?xml version="1.0" encoding="utf-8"?>
<sst xmlns="http://schemas.openxmlformats.org/spreadsheetml/2006/main" count="988" uniqueCount="535">
  <si>
    <t>8.8周测</t>
  </si>
  <si>
    <t>8.15周测</t>
  </si>
  <si>
    <t>8.22周测</t>
  </si>
  <si>
    <t>语文</t>
  </si>
  <si>
    <t>数学</t>
  </si>
  <si>
    <t>姓名</t>
  </si>
  <si>
    <t>职测物理</t>
  </si>
  <si>
    <t>职测地理</t>
  </si>
  <si>
    <t>职测总分</t>
  </si>
  <si>
    <t>总分</t>
  </si>
  <si>
    <t>安一航</t>
  </si>
  <si>
    <t>段家君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</si>
  <si>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</si>
  <si>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</si>
  <si>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</si>
  <si>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</si>
  <si>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</si>
  <si>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</si>
  <si>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</si>
  <si>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</si>
  <si>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</si>
  <si>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</si>
  <si>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</si>
  <si>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</si>
  <si>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</si>
  <si>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</si>
  <si>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</si>
  <si>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</si>
  <si>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</si>
  <si>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</si>
  <si>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</si>
  <si>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</si>
  <si>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</si>
  <si>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</si>
  <si>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</si>
  <si>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</si>
  <si>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</si>
  <si>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数学：李嘉璇</t>
  </si>
  <si>
    <t>8.28周测</t>
  </si>
  <si>
    <t>职测化学</t>
  </si>
  <si>
    <t>班兴航</t>
  </si>
  <si>
    <t>曹一萌</t>
  </si>
  <si>
    <t>陈子豪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</si>
  <si>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</si>
  <si>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</si>
  <si>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</si>
  <si>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</si>
  <si>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</si>
  <si>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</si>
  <si>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</si>
  <si>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</si>
  <si>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</si>
  <si>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</si>
  <si>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</si>
  <si>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</si>
  <si>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</si>
  <si>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</si>
  <si>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</si>
  <si>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</si>
  <si>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</si>
  <si>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赵志赫</t>
  </si>
  <si>
    <t>郑钰涛</t>
  </si>
  <si>
    <t>左梦晞</t>
  </si>
  <si>
    <t>张紫烨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</si>
  <si>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</si>
  <si>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</si>
  <si>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</si>
  <si>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</si>
  <si>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</si>
  <si>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</si>
  <si>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</si>
  <si>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</si>
  <si>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</si>
  <si>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</si>
  <si>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</si>
  <si>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</si>
  <si>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</si>
  <si>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</si>
  <si>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</si>
  <si>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</si>
  <si>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</si>
  <si>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</si>
  <si>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</si>
  <si>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</si>
  <si>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</si>
  <si>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</si>
  <si>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</si>
  <si>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</si>
  <si>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</si>
  <si>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</si>
  <si>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</si>
  <si>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赵浩杨</t>
  </si>
  <si>
    <t>李凯波</t>
  </si>
  <si>
    <t>崔铂强</t>
  </si>
  <si>
    <t>数学:丁然</t>
  </si>
  <si>
    <t>职测政治</t>
  </si>
  <si>
    <t>王旭瑞</t>
  </si>
  <si>
    <t>杜旭阳</t>
  </si>
  <si>
    <t>李恩赐</t>
  </si>
  <si>
    <t>赵钧钦</t>
  </si>
  <si>
    <t>刘晓楠</t>
  </si>
  <si>
    <t>董谨毅</t>
  </si>
  <si>
    <t>孙涵哲</t>
  </si>
  <si>
    <t>杜靖</t>
  </si>
  <si>
    <t>刘晓键</t>
  </si>
  <si>
    <t>罗谢宇</t>
  </si>
  <si>
    <t>张旭</t>
  </si>
  <si>
    <t>段青泽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</si>
  <si>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</si>
  <si>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</si>
  <si>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</si>
  <si>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</si>
  <si>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</si>
  <si>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</si>
  <si>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</si>
  <si>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</si>
  <si>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</si>
  <si>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</si>
  <si>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</si>
  <si>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</si>
  <si>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</si>
  <si>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</si>
  <si>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</si>
  <si>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</si>
  <si>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rgb="FF000000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</si>
  <si>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</si>
  <si>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</si>
  <si>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</si>
  <si>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</si>
  <si>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</si>
  <si>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</si>
  <si>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</si>
  <si>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</si>
  <si>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</si>
  <si>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</si>
  <si>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</si>
  <si>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</si>
  <si>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</si>
  <si>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</si>
  <si>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</si>
  <si>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</si>
  <si>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</si>
  <si>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</si>
  <si>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</si>
  <si>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</si>
  <si>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</si>
  <si>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</si>
  <si>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</si>
  <si>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</si>
  <si>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</si>
  <si>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</si>
  <si>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</si>
  <si>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</si>
  <si>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</si>
  <si>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</si>
  <si>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</si>
  <si>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</si>
  <si>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</si>
  <si>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</si>
  <si>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</si>
  <si>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</si>
  <si>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</si>
  <si>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</si>
  <si>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</si>
  <si>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</si>
  <si>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</si>
  <si>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</si>
  <si>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</si>
  <si>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</si>
  <si>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</si>
  <si>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</si>
  <si>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</si>
  <si>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</si>
  <si>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</si>
  <si>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</si>
  <si>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</si>
  <si>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</si>
  <si>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</si>
  <si>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</si>
  <si>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</si>
  <si>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</si>
  <si>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</si>
  <si>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</si>
  <si>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</si>
  <si>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</si>
  <si>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</si>
  <si>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</si>
  <si>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</si>
  <si>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</si>
  <si>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</si>
  <si>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</si>
  <si>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</si>
  <si>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</si>
  <si>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</si>
  <si>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</si>
  <si>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</si>
  <si>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武琛泽</t>
  </si>
  <si>
    <t>杨泽邦</t>
  </si>
  <si>
    <t>刘佳民</t>
  </si>
  <si>
    <t>牛子奥</t>
  </si>
  <si>
    <t>刘贺杰</t>
  </si>
  <si>
    <t>于嘉琛</t>
  </si>
  <si>
    <t>程鹏瑞</t>
  </si>
  <si>
    <t>徐赫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</si>
  <si>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</si>
  <si>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</si>
  <si>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</si>
  <si>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</si>
  <si>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</si>
  <si>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</si>
  <si>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</si>
  <si>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</si>
  <si>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</si>
  <si>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</si>
  <si>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</si>
  <si>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</si>
  <si>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</si>
  <si>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</si>
  <si>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</si>
  <si>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</si>
  <si>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</si>
  <si>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</si>
  <si>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张泽杨</t>
  </si>
  <si>
    <t>李尚哲</t>
  </si>
  <si>
    <t>陈泽鑫</t>
  </si>
  <si>
    <t>王宝森</t>
  </si>
  <si>
    <t>袁博</t>
  </si>
  <si>
    <t>职测生物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</si>
  <si>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</si>
  <si>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</si>
  <si>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</si>
  <si>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</si>
  <si>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</si>
  <si>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</si>
  <si>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</si>
  <si>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</si>
  <si>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</si>
  <si>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</si>
  <si>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</si>
  <si>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</si>
  <si>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</si>
  <si>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</si>
  <si>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李安康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</si>
  <si>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</si>
  <si>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</si>
  <si>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</si>
  <si>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</si>
  <si>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</si>
  <si>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</si>
  <si>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</si>
  <si>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</si>
  <si>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</si>
  <si>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</si>
  <si>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</si>
  <si>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</si>
  <si>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</si>
  <si>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</si>
  <si>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</si>
  <si>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</si>
  <si>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</si>
  <si>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</si>
  <si>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</si>
  <si>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</si>
  <si>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</si>
  <si>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康兴婉</t>
  </si>
  <si>
    <t>刘家乐</t>
  </si>
  <si>
    <t>张一杭</t>
  </si>
  <si>
    <t>胡博涵</t>
  </si>
  <si>
    <t>李亚坤</t>
  </si>
  <si>
    <t>何旭杰</t>
  </si>
  <si>
    <t>明宇瑶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</si>
  <si>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</si>
  <si>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</si>
  <si>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</si>
  <si>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</si>
  <si>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</si>
  <si>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</si>
  <si>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</si>
  <si>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</si>
  <si>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</si>
  <si>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张语凝</t>
  </si>
  <si>
    <t>刘欣怡</t>
  </si>
  <si>
    <t>张瑞敏</t>
  </si>
  <si>
    <t>赵子扬</t>
  </si>
  <si>
    <t>刘春辉</t>
  </si>
  <si>
    <t>刘铮程淼</t>
  </si>
  <si>
    <t>赵晶晶</t>
  </si>
  <si>
    <t>王韶涵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</si>
  <si>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</si>
  <si>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</si>
  <si>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</si>
  <si>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</si>
  <si>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</si>
  <si>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</si>
  <si>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</si>
  <si>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</si>
  <si>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</si>
  <si>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</si>
  <si>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</si>
  <si>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</si>
  <si>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</si>
  <si>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</si>
  <si>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</si>
  <si>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</si>
  <si>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</si>
  <si>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</si>
  <si>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</si>
  <si>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</si>
  <si>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</si>
  <si>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</si>
  <si>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</si>
  <si>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</si>
  <si>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</si>
  <si>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</si>
  <si>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</si>
  <si>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</si>
  <si>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连天一</t>
  </si>
  <si>
    <t>张康丁</t>
  </si>
  <si>
    <t>韩裕悰</t>
  </si>
  <si>
    <t>刘澳鑫</t>
  </si>
  <si>
    <t>职测历史</t>
  </si>
  <si>
    <t>程奥毅</t>
  </si>
  <si>
    <t>王怡婷</t>
  </si>
  <si>
    <t>职测思政</t>
  </si>
  <si>
    <t>职测计算机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</si>
  <si>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</si>
  <si>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</si>
  <si>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</si>
  <si>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</si>
  <si>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</si>
  <si>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</si>
  <si>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</si>
  <si>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</si>
  <si>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</si>
  <si>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</si>
  <si>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</si>
  <si>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崔玉英</t>
  </si>
  <si>
    <t>刘梦迪</t>
  </si>
  <si>
    <t>李思宇</t>
  </si>
  <si>
    <t>班玉君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</si>
  <si>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</si>
  <si>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</si>
  <si>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</si>
  <si>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</si>
  <si>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</si>
  <si>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</si>
  <si>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</si>
  <si>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</si>
  <si>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</si>
  <si>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</si>
  <si>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</si>
  <si>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</si>
  <si>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</si>
  <si>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</si>
  <si>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</si>
  <si>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</si>
  <si>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</si>
  <si>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</si>
  <si>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</si>
  <si>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</si>
  <si>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</si>
  <si>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</si>
  <si>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</si>
  <si>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</si>
  <si>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</si>
  <si>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</si>
  <si>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</si>
  <si>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</si>
  <si>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李馨哲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</si>
  <si>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</si>
  <si>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</si>
  <si>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</si>
  <si>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</si>
  <si>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</si>
  <si>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</si>
  <si>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</si>
  <si>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</si>
  <si>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</si>
  <si>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</si>
  <si>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</si>
  <si>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</si>
  <si>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</si>
  <si>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</si>
  <si>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孙鑫</t>
  </si>
  <si>
    <t>于诺伊</t>
  </si>
  <si>
    <t>田子雅</t>
  </si>
  <si>
    <t>钟子怡</t>
  </si>
  <si>
    <t>张博雅</t>
  </si>
  <si>
    <t>程泽钰</t>
  </si>
  <si>
    <t>闫宇笑</t>
  </si>
  <si>
    <t>张韵梓</t>
  </si>
  <si>
    <t>任皓然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</si>
  <si>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</si>
  <si>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</si>
  <si>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</si>
  <si>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</si>
  <si>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</si>
  <si>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</si>
  <si>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</si>
  <si>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</si>
  <si>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</si>
  <si>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</si>
  <si>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</si>
  <si>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</si>
  <si>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</si>
  <si>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</si>
  <si>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</si>
  <si>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</si>
  <si>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韩瑞航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</si>
  <si>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</si>
  <si>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</si>
  <si>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</si>
  <si>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</si>
  <si>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</si>
  <si>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</si>
  <si>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</si>
  <si>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</si>
  <si>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</si>
  <si>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</si>
  <si>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</si>
  <si>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</si>
  <si>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</si>
  <si>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</si>
  <si>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</si>
  <si>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董怡涵</t>
  </si>
  <si>
    <t>霍瑞楠</t>
  </si>
  <si>
    <t>路怡然</t>
  </si>
  <si>
    <t>程译婕</t>
  </si>
  <si>
    <t>胡筱冉</t>
  </si>
  <si>
    <t>刘一冉</t>
  </si>
  <si>
    <t>孔潇</t>
  </si>
  <si>
    <t>曹梓焱</t>
  </si>
  <si>
    <t>葛函旭</t>
  </si>
  <si>
    <t>孙岚莎</t>
  </si>
  <si>
    <t>陶铉</t>
  </si>
  <si>
    <t>贾博杰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</si>
  <si>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</si>
  <si>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</si>
  <si>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</si>
  <si>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</si>
  <si>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</si>
  <si>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</si>
  <si>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</si>
  <si>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</si>
  <si>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</si>
  <si>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</si>
  <si>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</si>
  <si>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</si>
  <si>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</si>
  <si>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</si>
  <si>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</si>
  <si>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</si>
  <si>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</si>
  <si>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</si>
  <si>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</si>
  <si>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</si>
  <si>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</si>
  <si>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</si>
  <si>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</si>
  <si>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</si>
  <si>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</si>
  <si>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</si>
  <si>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</si>
  <si>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</si>
  <si>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</si>
  <si>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</si>
  <si>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</si>
  <si>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</si>
  <si>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</si>
  <si>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</si>
  <si>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</si>
  <si>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高宇兴</t>
  </si>
  <si>
    <t>李静怡</t>
  </si>
  <si>
    <t>曹越</t>
  </si>
  <si>
    <t>李梓坦</t>
  </si>
  <si>
    <t>菅首航</t>
  </si>
  <si>
    <t>程梓钦</t>
  </si>
  <si>
    <t>冯雪婷</t>
  </si>
  <si>
    <t>魏若冰</t>
  </si>
  <si>
    <t>牛鑫泽</t>
  </si>
  <si>
    <t>唐荣杰</t>
  </si>
  <si>
    <t>薛红康</t>
  </si>
  <si>
    <t>田奥</t>
  </si>
  <si>
    <t>李晓星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</si>
  <si>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</si>
  <si>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</si>
  <si>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</si>
  <si>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</si>
  <si>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</si>
  <si>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</si>
  <si>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</si>
  <si>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</si>
  <si>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</si>
  <si>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</si>
  <si>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</si>
  <si>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马奥飞</t>
  </si>
  <si>
    <t>乔智</t>
  </si>
  <si>
    <t>张子默</t>
  </si>
  <si>
    <t>郑子涵</t>
  </si>
  <si>
    <t>王嘉瑶</t>
  </si>
  <si>
    <t>闫嘉慧</t>
  </si>
  <si>
    <t>封昭君</t>
  </si>
  <si>
    <t>杨奥</t>
  </si>
  <si>
    <t>胡英杰</t>
  </si>
  <si>
    <t>李秀靖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</si>
  <si>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</si>
  <si>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</si>
  <si>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</si>
  <si>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</si>
  <si>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</si>
  <si>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</si>
  <si>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</si>
  <si>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</si>
  <si>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</si>
  <si>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</si>
  <si>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</si>
  <si>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</si>
  <si>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</si>
  <si>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</si>
  <si>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</si>
  <si>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李琪奥</t>
  </si>
  <si>
    <t>崔展谊</t>
  </si>
  <si>
    <t>许祥雨</t>
  </si>
  <si>
    <t>蕫怡涵</t>
  </si>
  <si>
    <t>邵宏宇</t>
  </si>
  <si>
    <t>8.28周测</t>
    <phoneticPr fontId="15" type="noConversion"/>
  </si>
  <si>
    <t>8.8周测</t>
    <phoneticPr fontId="15" type="noConversion"/>
  </si>
  <si>
    <t>姓名</t>
    <phoneticPr fontId="15" type="noConversion"/>
  </si>
  <si>
    <t>英语</t>
    <phoneticPr fontId="15" type="noConversion"/>
  </si>
  <si>
    <t>职测总分</t>
    <phoneticPr fontId="15" type="noConversion"/>
  </si>
  <si>
    <t>政治</t>
    <phoneticPr fontId="15" type="noConversion"/>
  </si>
  <si>
    <t>信息技术</t>
    <phoneticPr fontId="15" type="noConversion"/>
  </si>
  <si>
    <t>历史</t>
    <phoneticPr fontId="15" type="noConversion"/>
  </si>
  <si>
    <t>八类职测</t>
    <phoneticPr fontId="15" type="noConversion"/>
  </si>
  <si>
    <t>职测信息技术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</si>
</sst>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_ "/>
    <numFmt numFmtId="177" formatCode="0.00_ "/>
  </numFmts>
  <fonts count="22" x14ac:knownFonts="1">
    <font>
      <sz val="11"/>
      <color theme="1"/>
      <name val="宋体"/>
      <charset val="134"/>
      <scheme val="minor"/>
    </font>
    <font>
      <sz val="14"/>
      <color rgb="FF000000"/>
      <name val="宋体"/>
      <charset val="134"/>
    </font>
    <font>
      <sz val="14"/>
      <color theme="1"/>
      <name val="宋体"/>
      <charset val="134"/>
    </font>
    <font>
      <sz val="14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2"/>
      <color rgb="FF000000"/>
      <name val="宋体"/>
      <charset val="134"/>
    </font>
    <font>
      <sz val="12"/>
      <color rgb="FF000000"/>
      <name val="宋体"/>
      <charset val="134"/>
      <scheme val="minor"/>
    </font>
    <font>
      <sz val="18"/>
      <color rgb="FF000000"/>
      <name val="宋体"/>
      <charset val="134"/>
    </font>
    <font>
      <sz val="18"/>
      <color theme="1"/>
      <name val="宋体"/>
      <charset val="134"/>
      <scheme val="minor"/>
    </font>
    <font>
      <sz val="11"/>
      <name val="宋体"/>
      <charset val="134"/>
    </font>
    <font>
      <b/>
      <sz val="11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9"/>
      <name val="宋体"/>
      <family val="3"/>
      <charset val="134"/>
      <scheme val="minor"/>
    </font>
    <font>
      <sz val="14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2"/>
      <color theme="1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D6DCE5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 applyBorder="0">
      <alignment vertical="center"/>
    </xf>
  </cellStyleXfs>
  <cellXfs count="10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1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1" fillId="6" borderId="2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401" dbFileVersion="0" changeLogVersion="0">
    <open main="109" threadCnt="1"/>
    <sheetInfos>
      <sheetInfo cellCmpFml="1" sheetStid="17">
        <open main="1" threadCnt="1"/>
      </sheetInfo>
      <sheetInfo cellCmpFml="8" sheetStid="1">
        <open main="2" threadCnt="1"/>
      </sheetInfo>
      <sheetInfo cellCmpFml="14" sheetStid="2">
        <open main="3" threadCnt="1"/>
      </sheetInfo>
      <sheetInfo cellCmpFml="41" sheetStid="3">
        <open main="3" threadCnt="1"/>
      </sheetInfo>
      <sheetInfo cellCmpFml="35" sheetStid="4">
        <open main="3" threadCnt="1"/>
      </sheetInfo>
      <sheetInfo cellCmpFml="29" sheetStid="5">
        <open main="4" threadCnt="1"/>
      </sheetInfo>
      <sheetInfo cellCmpFml="65" sheetStid="6">
        <open main="7" threadCnt="1"/>
      </sheetInfo>
      <sheetInfo cellCmpFml="27" sheetStid="7">
        <open main="3" threadCnt="1"/>
      </sheetInfo>
      <sheetInfo cellCmpFml="3" sheetStid="8">
        <open main="4" threadCnt="1"/>
      </sheetInfo>
      <sheetInfo cellCmpFml="29" sheetStid="9">
        <open main="5" threadCnt="1"/>
      </sheetInfo>
      <sheetInfo cellCmpFml="35" sheetStid="10">
        <open main="2" threadCnt="1"/>
      </sheetInfo>
      <sheetInfo cellCmpFml="17" sheetStid="11">
        <open main="3" threadCnt="1"/>
      </sheetInfo>
      <sheetInfo cellCmpFml="22" sheetStid="12">
        <open main="1" threadCnt="1"/>
      </sheetInfo>
      <sheetInfo cellCmpFml="21" sheetStid="13">
        <open main="3" threadCnt="1"/>
      </sheetInfo>
      <sheetInfo cellCmpFml="54" sheetStid="14">
        <open main="4" threadCnt="1"/>
      </sheetInfo>
      <sheetInfo cellCmpFml="0" sheetStid="15">
        <open main="2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www.wps.cn/officeDocument/2023/relationships/woinfos" Target="woinfo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29"/>
  <sheetViews>
    <sheetView zoomScale="55" zoomScaleNormal="55" workbookViewId="0">
      <pane xSplit="1" topLeftCell="B1" activePane="topRight" state="frozen"/>
      <selection pane="topRight" activeCell="W1" sqref="W1:AC1"/>
    </sheetView>
  </sheetViews>
  <sheetFormatPr defaultColWidth="9.6328125" defaultRowHeight="14" x14ac:dyDescent="0.25"/>
  <cols>
    <col min="1" max="1" width="16.6328125" customWidth="1"/>
    <col min="2" max="22" width="9.6328125" customWidth="1"/>
  </cols>
  <sheetData>
    <row r="1" spans="1:48" ht="31" customHeight="1" x14ac:dyDescent="0.25">
      <c r="A1" s="4"/>
      <c r="B1" s="83" t="s">
        <v>0</v>
      </c>
      <c r="C1" s="84"/>
      <c r="D1" s="84"/>
      <c r="E1" s="84"/>
      <c r="F1" s="84"/>
      <c r="G1" s="84"/>
      <c r="H1" s="84"/>
      <c r="I1" s="83" t="s">
        <v>1</v>
      </c>
      <c r="J1" s="84"/>
      <c r="K1" s="84"/>
      <c r="L1" s="84"/>
      <c r="M1" s="84"/>
      <c r="N1" s="84"/>
      <c r="O1" s="84"/>
      <c r="P1" s="83" t="s">
        <v>2</v>
      </c>
      <c r="Q1" s="84"/>
      <c r="R1" s="84"/>
      <c r="S1" s="84"/>
      <c r="T1" s="84"/>
      <c r="U1" s="84"/>
      <c r="V1" s="84"/>
      <c r="W1" s="85" t="s">
        <v>525</v>
      </c>
      <c r="X1" s="84"/>
      <c r="Y1" s="84"/>
      <c r="Z1" s="84"/>
      <c r="AA1" s="84"/>
      <c r="AB1" s="84"/>
      <c r="AC1" s="84"/>
    </row>
    <row r="2" spans="1:48" ht="35" customHeight="1" x14ac:dyDescent="0.25">
      <c r="A2" s="19" t="s">
        <v>5</v>
      </c>
      <c r="B2" s="28" t="s">
        <v>3</v>
      </c>
      <c r="C2" s="28" t="s">
        <v>4</v>
      </c>
      <c r="D2" s="81" t="s">
        <v>531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3</v>
      </c>
      <c r="J2" s="28" t="s">
        <v>4</v>
      </c>
      <c r="K2" s="81" t="s">
        <v>531</v>
      </c>
      <c r="L2" s="28" t="s">
        <v>6</v>
      </c>
      <c r="M2" s="28" t="s">
        <v>7</v>
      </c>
      <c r="N2" s="28" t="s">
        <v>8</v>
      </c>
      <c r="O2" s="29" t="s">
        <v>9</v>
      </c>
      <c r="P2" s="28" t="s">
        <v>3</v>
      </c>
      <c r="Q2" s="28" t="s">
        <v>4</v>
      </c>
      <c r="R2" s="81" t="s">
        <v>531</v>
      </c>
      <c r="S2" s="28" t="s">
        <v>6</v>
      </c>
      <c r="T2" s="28" t="s">
        <v>7</v>
      </c>
      <c r="U2" s="29" t="s">
        <v>8</v>
      </c>
      <c r="V2" s="2" t="s">
        <v>9</v>
      </c>
      <c r="W2" s="25" t="s">
        <v>3</v>
      </c>
      <c r="X2" s="25" t="s">
        <v>4</v>
      </c>
      <c r="Y2" s="82" t="s">
        <v>531</v>
      </c>
      <c r="Z2" s="25" t="s">
        <v>6</v>
      </c>
      <c r="AA2" s="25" t="s">
        <v>7</v>
      </c>
      <c r="AB2" s="57" t="s">
        <v>8</v>
      </c>
      <c r="AC2" s="15" t="s">
        <v>9</v>
      </c>
    </row>
    <row r="3" spans="1:48" ht="19" customHeight="1" x14ac:dyDescent="0.25">
      <c r="A3" s="32" t="s">
        <v>10</v>
      </c>
      <c r="B3" s="36">
        <v>52</v>
      </c>
      <c r="C3" s="36">
        <v>56</v>
      </c>
      <c r="D3" s="36">
        <v>47</v>
      </c>
      <c r="E3" s="36">
        <v>70</v>
      </c>
      <c r="F3" s="36">
        <v>25</v>
      </c>
      <c r="G3" s="36">
        <v>95</v>
      </c>
      <c r="H3" s="36">
        <v>250</v>
      </c>
      <c r="I3" s="36">
        <v>52</v>
      </c>
      <c r="J3" s="36">
        <v>71</v>
      </c>
      <c r="K3" s="36">
        <v>60</v>
      </c>
      <c r="L3" s="36">
        <v>32</v>
      </c>
      <c r="M3" s="36">
        <v>35</v>
      </c>
      <c r="N3" s="36">
        <v>67</v>
      </c>
      <c r="O3" s="58">
        <v>250</v>
      </c>
      <c r="P3" s="59">
        <v>56</v>
      </c>
      <c r="Q3" s="59">
        <v>54</v>
      </c>
      <c r="R3" s="59">
        <v>60</v>
      </c>
      <c r="S3" s="59">
        <v>47</v>
      </c>
      <c r="T3" s="59">
        <v>30</v>
      </c>
      <c r="U3" s="59">
        <v>77</v>
      </c>
      <c r="V3" s="59">
        <v>247</v>
      </c>
      <c r="W3" s="3">
        <v>74</v>
      </c>
      <c r="X3" s="3">
        <v>84</v>
      </c>
      <c r="Y3" s="3">
        <v>64</v>
      </c>
      <c r="Z3" s="3">
        <v>62</v>
      </c>
      <c r="AA3" s="3">
        <v>34</v>
      </c>
      <c r="AB3" s="3">
        <f>SUM(Z3:AA3)</f>
        <v>96</v>
      </c>
      <c r="AC3" s="3">
        <f>SUM(W3:AA3)</f>
        <v>318</v>
      </c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9" customHeight="1" x14ac:dyDescent="0.25">
      <c r="A4" s="32" t="s">
        <v>11</v>
      </c>
      <c r="B4" s="36">
        <v>56</v>
      </c>
      <c r="C4" s="36">
        <v>56</v>
      </c>
      <c r="D4" s="36">
        <v>70</v>
      </c>
      <c r="E4" s="36">
        <v>57</v>
      </c>
      <c r="F4" s="36">
        <v>28</v>
      </c>
      <c r="G4" s="36">
        <v>85</v>
      </c>
      <c r="H4" s="36">
        <v>267</v>
      </c>
      <c r="I4" s="36">
        <v>56</v>
      </c>
      <c r="J4" s="36">
        <v>76</v>
      </c>
      <c r="K4" s="36">
        <v>80</v>
      </c>
      <c r="L4" s="36">
        <v>63</v>
      </c>
      <c r="M4" s="36">
        <v>39</v>
      </c>
      <c r="N4" s="36">
        <v>102</v>
      </c>
      <c r="O4" s="58">
        <v>314</v>
      </c>
      <c r="P4" s="59"/>
      <c r="Q4" s="59"/>
      <c r="R4" s="59"/>
      <c r="S4" s="59"/>
      <c r="T4" s="59"/>
      <c r="U4" s="59"/>
      <c r="V4" s="59"/>
      <c r="W4" s="3">
        <v>76</v>
      </c>
      <c r="X4" s="3">
        <v>63</v>
      </c>
      <c r="Y4" s="3">
        <v>64</v>
      </c>
      <c r="Z4" s="3">
        <v>69</v>
      </c>
      <c r="AA4" s="3">
        <v>36</v>
      </c>
      <c r="AB4" s="3">
        <f t="shared" ref="AB4:AB28" si="0">SUM(Z4:AA4)</f>
        <v>105</v>
      </c>
      <c r="AC4" s="3">
        <f t="shared" ref="AC4:AC28" si="1">SUM(W4:AA4)</f>
        <v>308</v>
      </c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9" customHeight="1" x14ac:dyDescent="0.25">
      <c r="A5" s="32" t="s">
        <v>12</v>
      </c>
      <c r="B5" s="37"/>
      <c r="C5" s="37"/>
      <c r="D5" s="37"/>
      <c r="E5" s="37"/>
      <c r="F5" s="37"/>
      <c r="G5" s="37"/>
      <c r="H5" s="37"/>
      <c r="I5" s="37">
        <v>70</v>
      </c>
      <c r="J5" s="37">
        <v>84</v>
      </c>
      <c r="K5" s="37">
        <v>74</v>
      </c>
      <c r="L5" s="37">
        <v>48</v>
      </c>
      <c r="M5" s="37">
        <v>34</v>
      </c>
      <c r="N5" s="37">
        <v>82</v>
      </c>
      <c r="O5" s="56">
        <v>310</v>
      </c>
      <c r="P5" s="59">
        <v>76</v>
      </c>
      <c r="Q5" s="59">
        <v>79</v>
      </c>
      <c r="R5" s="59">
        <v>86</v>
      </c>
      <c r="S5" s="59">
        <v>46</v>
      </c>
      <c r="T5" s="59">
        <v>22</v>
      </c>
      <c r="U5" s="59">
        <v>68</v>
      </c>
      <c r="V5" s="59">
        <v>309</v>
      </c>
      <c r="W5" s="3">
        <v>78</v>
      </c>
      <c r="X5" s="3">
        <v>95</v>
      </c>
      <c r="Y5" s="3">
        <v>68</v>
      </c>
      <c r="Z5" s="3">
        <v>41</v>
      </c>
      <c r="AA5" s="3">
        <v>26</v>
      </c>
      <c r="AB5" s="3">
        <f t="shared" si="0"/>
        <v>67</v>
      </c>
      <c r="AC5" s="3">
        <f t="shared" si="1"/>
        <v>308</v>
      </c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9" customHeight="1" x14ac:dyDescent="0.25">
      <c r="A6" s="32" t="s">
        <v>13</v>
      </c>
      <c r="B6" s="36">
        <v>44</v>
      </c>
      <c r="C6" s="36">
        <v>92</v>
      </c>
      <c r="D6" s="36">
        <v>42</v>
      </c>
      <c r="E6" s="36">
        <v>77</v>
      </c>
      <c r="F6" s="36">
        <v>35</v>
      </c>
      <c r="G6" s="36">
        <v>112</v>
      </c>
      <c r="H6" s="36">
        <v>290</v>
      </c>
      <c r="I6" s="36">
        <v>66</v>
      </c>
      <c r="J6" s="36">
        <v>100</v>
      </c>
      <c r="K6" s="36">
        <v>70</v>
      </c>
      <c r="L6" s="36">
        <v>73</v>
      </c>
      <c r="M6" s="36">
        <v>35</v>
      </c>
      <c r="N6" s="36">
        <v>108</v>
      </c>
      <c r="O6" s="58">
        <v>344</v>
      </c>
      <c r="P6" s="59">
        <v>68</v>
      </c>
      <c r="Q6" s="59">
        <v>70</v>
      </c>
      <c r="R6" s="59">
        <v>66</v>
      </c>
      <c r="S6" s="59">
        <v>94</v>
      </c>
      <c r="T6" s="59">
        <v>26</v>
      </c>
      <c r="U6" s="59">
        <v>120</v>
      </c>
      <c r="V6" s="59">
        <v>324</v>
      </c>
      <c r="W6" s="3">
        <v>78</v>
      </c>
      <c r="X6" s="3">
        <v>94</v>
      </c>
      <c r="Y6" s="3">
        <v>76</v>
      </c>
      <c r="Z6" s="3">
        <v>91</v>
      </c>
      <c r="AA6" s="3">
        <v>40</v>
      </c>
      <c r="AB6" s="3">
        <f t="shared" si="0"/>
        <v>131</v>
      </c>
      <c r="AC6" s="3">
        <f t="shared" si="1"/>
        <v>379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9" customHeight="1" x14ac:dyDescent="0.25">
      <c r="A7" s="32" t="s">
        <v>14</v>
      </c>
      <c r="B7" s="36">
        <v>68</v>
      </c>
      <c r="C7" s="36">
        <v>90</v>
      </c>
      <c r="D7" s="36">
        <v>51</v>
      </c>
      <c r="E7" s="36">
        <v>86</v>
      </c>
      <c r="F7" s="36">
        <v>35</v>
      </c>
      <c r="G7" s="36">
        <v>121</v>
      </c>
      <c r="H7" s="36">
        <v>330</v>
      </c>
      <c r="I7" s="36">
        <v>70</v>
      </c>
      <c r="J7" s="36">
        <v>97</v>
      </c>
      <c r="K7" s="36">
        <v>82</v>
      </c>
      <c r="L7" s="36">
        <v>91</v>
      </c>
      <c r="M7" s="36">
        <v>36</v>
      </c>
      <c r="N7" s="36">
        <v>127</v>
      </c>
      <c r="O7" s="58">
        <v>376</v>
      </c>
      <c r="P7" s="59">
        <v>80</v>
      </c>
      <c r="Q7" s="59">
        <v>89</v>
      </c>
      <c r="R7" s="59">
        <v>86</v>
      </c>
      <c r="S7" s="59">
        <v>97</v>
      </c>
      <c r="T7" s="59">
        <v>29</v>
      </c>
      <c r="U7" s="59">
        <v>126</v>
      </c>
      <c r="V7" s="59">
        <v>381</v>
      </c>
      <c r="W7" s="3">
        <v>64</v>
      </c>
      <c r="X7" s="3">
        <v>100</v>
      </c>
      <c r="Y7" s="3">
        <v>70</v>
      </c>
      <c r="Z7" s="3">
        <v>88</v>
      </c>
      <c r="AA7" s="3">
        <v>40</v>
      </c>
      <c r="AB7" s="3">
        <f t="shared" si="0"/>
        <v>128</v>
      </c>
      <c r="AC7" s="3">
        <f t="shared" si="1"/>
        <v>362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9" customHeight="1" x14ac:dyDescent="0.25">
      <c r="A8" s="32" t="s">
        <v>15</v>
      </c>
      <c r="B8" s="36">
        <v>64</v>
      </c>
      <c r="C8" s="36">
        <v>87</v>
      </c>
      <c r="D8" s="36">
        <v>60</v>
      </c>
      <c r="E8" s="36">
        <v>85</v>
      </c>
      <c r="F8" s="36">
        <v>24</v>
      </c>
      <c r="G8" s="36">
        <v>109</v>
      </c>
      <c r="H8" s="36">
        <v>320</v>
      </c>
      <c r="I8" s="36">
        <v>58</v>
      </c>
      <c r="J8" s="36">
        <v>73</v>
      </c>
      <c r="K8" s="36">
        <v>64</v>
      </c>
      <c r="L8" s="36">
        <v>54</v>
      </c>
      <c r="M8" s="36">
        <v>41</v>
      </c>
      <c r="N8" s="36">
        <v>95</v>
      </c>
      <c r="O8" s="58">
        <v>290</v>
      </c>
      <c r="P8" s="59">
        <v>62</v>
      </c>
      <c r="Q8" s="59">
        <v>60</v>
      </c>
      <c r="R8" s="59">
        <v>76</v>
      </c>
      <c r="S8" s="59">
        <v>45</v>
      </c>
      <c r="T8" s="59">
        <v>22</v>
      </c>
      <c r="U8" s="59">
        <v>67</v>
      </c>
      <c r="V8" s="59">
        <v>265</v>
      </c>
      <c r="W8" s="3">
        <v>72</v>
      </c>
      <c r="X8" s="3">
        <v>70</v>
      </c>
      <c r="Y8" s="3">
        <v>64</v>
      </c>
      <c r="Z8" s="3">
        <v>68</v>
      </c>
      <c r="AA8" s="3">
        <v>37</v>
      </c>
      <c r="AB8" s="3">
        <f t="shared" si="0"/>
        <v>105</v>
      </c>
      <c r="AC8" s="3">
        <f t="shared" si="1"/>
        <v>311</v>
      </c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9" customHeight="1" x14ac:dyDescent="0.25">
      <c r="A9" s="32" t="s">
        <v>16</v>
      </c>
      <c r="B9" s="36">
        <v>60</v>
      </c>
      <c r="C9" s="36">
        <v>72</v>
      </c>
      <c r="D9" s="36">
        <v>61</v>
      </c>
      <c r="E9" s="36">
        <v>30</v>
      </c>
      <c r="F9" s="36">
        <v>22</v>
      </c>
      <c r="G9" s="36">
        <v>52</v>
      </c>
      <c r="H9" s="36">
        <v>245</v>
      </c>
      <c r="I9" s="36"/>
      <c r="J9" s="36"/>
      <c r="K9" s="36"/>
      <c r="L9" s="36"/>
      <c r="M9" s="36"/>
      <c r="N9" s="36"/>
      <c r="O9" s="58"/>
      <c r="P9" s="59">
        <v>62</v>
      </c>
      <c r="Q9" s="59">
        <v>42</v>
      </c>
      <c r="R9" s="59">
        <v>82</v>
      </c>
      <c r="S9" s="59">
        <v>37</v>
      </c>
      <c r="T9" s="59">
        <v>30</v>
      </c>
      <c r="U9" s="59">
        <v>67</v>
      </c>
      <c r="V9" s="59">
        <v>253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9" customHeight="1" x14ac:dyDescent="0.25">
      <c r="A10" s="32" t="s">
        <v>17</v>
      </c>
      <c r="B10" s="36">
        <v>42</v>
      </c>
      <c r="C10" s="36">
        <v>47</v>
      </c>
      <c r="D10" s="36">
        <v>39</v>
      </c>
      <c r="E10" s="36">
        <v>42</v>
      </c>
      <c r="F10" s="36">
        <v>19</v>
      </c>
      <c r="G10" s="36">
        <v>61</v>
      </c>
      <c r="H10" s="36">
        <v>189</v>
      </c>
      <c r="I10" s="36">
        <v>38</v>
      </c>
      <c r="J10" s="36">
        <v>71</v>
      </c>
      <c r="K10" s="36">
        <v>56</v>
      </c>
      <c r="L10" s="36">
        <v>24</v>
      </c>
      <c r="M10" s="36">
        <v>17</v>
      </c>
      <c r="N10" s="36">
        <v>41</v>
      </c>
      <c r="O10" s="58">
        <v>206</v>
      </c>
      <c r="P10" s="59">
        <v>48</v>
      </c>
      <c r="Q10" s="59">
        <v>58</v>
      </c>
      <c r="R10" s="59">
        <v>48</v>
      </c>
      <c r="S10" s="59">
        <v>39</v>
      </c>
      <c r="T10" s="59">
        <v>18</v>
      </c>
      <c r="U10" s="59">
        <v>57</v>
      </c>
      <c r="V10" s="59">
        <v>211</v>
      </c>
      <c r="W10" s="3">
        <v>54</v>
      </c>
      <c r="X10" s="3">
        <v>36</v>
      </c>
      <c r="Y10" s="3">
        <v>56</v>
      </c>
      <c r="Z10" s="3">
        <v>80</v>
      </c>
      <c r="AA10" s="3">
        <v>34</v>
      </c>
      <c r="AB10" s="3">
        <f t="shared" si="0"/>
        <v>114</v>
      </c>
      <c r="AC10" s="3">
        <f t="shared" si="1"/>
        <v>260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9" customHeight="1" x14ac:dyDescent="0.25">
      <c r="A11" s="32" t="s">
        <v>18</v>
      </c>
      <c r="B11" s="36">
        <v>78</v>
      </c>
      <c r="C11" s="36">
        <v>39</v>
      </c>
      <c r="D11" s="36">
        <v>67</v>
      </c>
      <c r="E11" s="36">
        <v>74</v>
      </c>
      <c r="F11" s="36">
        <v>32</v>
      </c>
      <c r="G11" s="36">
        <v>106</v>
      </c>
      <c r="H11" s="36">
        <v>290</v>
      </c>
      <c r="I11" s="36">
        <v>68</v>
      </c>
      <c r="J11" s="36">
        <v>97</v>
      </c>
      <c r="K11" s="36">
        <v>72</v>
      </c>
      <c r="L11" s="36">
        <v>51</v>
      </c>
      <c r="M11" s="36">
        <v>37</v>
      </c>
      <c r="N11" s="36">
        <v>88</v>
      </c>
      <c r="O11" s="58">
        <v>325</v>
      </c>
      <c r="P11" s="59">
        <v>62</v>
      </c>
      <c r="Q11" s="59">
        <v>63</v>
      </c>
      <c r="R11" s="59">
        <v>82</v>
      </c>
      <c r="S11" s="59">
        <v>28</v>
      </c>
      <c r="T11" s="59">
        <v>37</v>
      </c>
      <c r="U11" s="59">
        <v>65</v>
      </c>
      <c r="V11" s="59">
        <v>272</v>
      </c>
      <c r="W11" s="3">
        <v>76</v>
      </c>
      <c r="X11" s="3">
        <v>83</v>
      </c>
      <c r="Y11" s="3">
        <v>74</v>
      </c>
      <c r="Z11" s="3">
        <v>75</v>
      </c>
      <c r="AA11" s="3">
        <v>35</v>
      </c>
      <c r="AB11" s="3">
        <f t="shared" si="0"/>
        <v>110</v>
      </c>
      <c r="AC11" s="3">
        <f t="shared" si="1"/>
        <v>343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9" customHeight="1" x14ac:dyDescent="0.25">
      <c r="A12" s="32" t="s">
        <v>19</v>
      </c>
      <c r="B12" s="36">
        <v>54</v>
      </c>
      <c r="C12" s="36">
        <v>37</v>
      </c>
      <c r="D12" s="36">
        <v>58</v>
      </c>
      <c r="E12" s="37"/>
      <c r="F12" s="37"/>
      <c r="G12" s="37"/>
      <c r="H12" s="36">
        <v>149</v>
      </c>
      <c r="I12" s="36">
        <v>38</v>
      </c>
      <c r="J12" s="36">
        <v>44</v>
      </c>
      <c r="K12" s="36">
        <v>64</v>
      </c>
      <c r="L12" s="37">
        <v>35</v>
      </c>
      <c r="M12" s="37">
        <v>14</v>
      </c>
      <c r="N12" s="37">
        <v>49</v>
      </c>
      <c r="O12" s="58">
        <v>195</v>
      </c>
      <c r="P12" s="59"/>
      <c r="Q12" s="59"/>
      <c r="R12" s="59"/>
      <c r="S12" s="59"/>
      <c r="T12" s="59"/>
      <c r="U12" s="59"/>
      <c r="V12" s="59"/>
      <c r="W12" s="3">
        <v>70</v>
      </c>
      <c r="X12" s="3">
        <v>48</v>
      </c>
      <c r="Y12" s="3">
        <v>52</v>
      </c>
      <c r="Z12" s="3">
        <v>39</v>
      </c>
      <c r="AA12" s="3">
        <v>13</v>
      </c>
      <c r="AB12" s="3">
        <f t="shared" si="0"/>
        <v>52</v>
      </c>
      <c r="AC12" s="3">
        <f t="shared" si="1"/>
        <v>222</v>
      </c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9" customHeight="1" x14ac:dyDescent="0.25">
      <c r="A13" s="32" t="s">
        <v>20</v>
      </c>
      <c r="B13" s="36">
        <v>50</v>
      </c>
      <c r="C13" s="36">
        <v>24</v>
      </c>
      <c r="D13" s="36">
        <v>65</v>
      </c>
      <c r="E13" s="36">
        <v>42</v>
      </c>
      <c r="F13" s="36">
        <v>23</v>
      </c>
      <c r="G13" s="36">
        <v>65</v>
      </c>
      <c r="H13" s="36">
        <v>204</v>
      </c>
      <c r="I13" s="36">
        <v>58</v>
      </c>
      <c r="J13" s="36">
        <v>28</v>
      </c>
      <c r="K13" s="36">
        <v>78</v>
      </c>
      <c r="L13" s="36">
        <v>32</v>
      </c>
      <c r="M13" s="36">
        <v>37</v>
      </c>
      <c r="N13" s="36">
        <v>69</v>
      </c>
      <c r="O13" s="58">
        <v>233</v>
      </c>
      <c r="P13" s="59">
        <v>70</v>
      </c>
      <c r="Q13" s="59">
        <v>29</v>
      </c>
      <c r="R13" s="59">
        <v>84</v>
      </c>
      <c r="S13" s="59">
        <v>45</v>
      </c>
      <c r="T13" s="59">
        <v>27</v>
      </c>
      <c r="U13" s="59">
        <v>72</v>
      </c>
      <c r="V13" s="59">
        <v>255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9" customHeight="1" x14ac:dyDescent="0.25">
      <c r="A14" s="32" t="s">
        <v>21</v>
      </c>
      <c r="B14" s="36">
        <v>74</v>
      </c>
      <c r="C14" s="36">
        <v>83</v>
      </c>
      <c r="D14" s="36">
        <v>68</v>
      </c>
      <c r="E14" s="36">
        <v>89</v>
      </c>
      <c r="F14" s="36">
        <v>35</v>
      </c>
      <c r="G14" s="36">
        <v>124</v>
      </c>
      <c r="H14" s="36">
        <v>349</v>
      </c>
      <c r="I14" s="36">
        <v>74</v>
      </c>
      <c r="J14" s="36">
        <v>97</v>
      </c>
      <c r="K14" s="36">
        <v>72</v>
      </c>
      <c r="L14" s="36">
        <v>94</v>
      </c>
      <c r="M14" s="36">
        <v>37</v>
      </c>
      <c r="N14" s="36">
        <v>131</v>
      </c>
      <c r="O14" s="58">
        <v>374</v>
      </c>
      <c r="P14" s="59">
        <v>82</v>
      </c>
      <c r="Q14" s="59">
        <v>73</v>
      </c>
      <c r="R14" s="59">
        <v>84</v>
      </c>
      <c r="S14" s="59">
        <v>85</v>
      </c>
      <c r="T14" s="59">
        <v>34</v>
      </c>
      <c r="U14" s="59">
        <v>119</v>
      </c>
      <c r="V14" s="59">
        <v>358</v>
      </c>
      <c r="W14" s="3">
        <v>76</v>
      </c>
      <c r="X14" s="3">
        <v>93</v>
      </c>
      <c r="Y14" s="3">
        <v>78</v>
      </c>
      <c r="Z14" s="3">
        <v>88</v>
      </c>
      <c r="AA14" s="3">
        <v>41</v>
      </c>
      <c r="AB14" s="3">
        <f t="shared" si="0"/>
        <v>129</v>
      </c>
      <c r="AC14" s="3">
        <f t="shared" si="1"/>
        <v>376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9" customHeight="1" x14ac:dyDescent="0.25">
      <c r="A15" s="32" t="s">
        <v>22</v>
      </c>
      <c r="B15" s="36">
        <v>68</v>
      </c>
      <c r="C15" s="36">
        <v>72</v>
      </c>
      <c r="D15" s="36">
        <v>63</v>
      </c>
      <c r="E15" s="36">
        <v>89</v>
      </c>
      <c r="F15" s="36">
        <v>31</v>
      </c>
      <c r="G15" s="36">
        <v>120</v>
      </c>
      <c r="H15" s="36">
        <v>323</v>
      </c>
      <c r="I15" s="36">
        <v>70</v>
      </c>
      <c r="J15" s="36">
        <v>89</v>
      </c>
      <c r="K15" s="36">
        <v>52</v>
      </c>
      <c r="L15" s="36">
        <v>87</v>
      </c>
      <c r="M15" s="36">
        <v>36</v>
      </c>
      <c r="N15" s="36">
        <v>123</v>
      </c>
      <c r="O15" s="58">
        <v>334</v>
      </c>
      <c r="P15" s="59">
        <v>60</v>
      </c>
      <c r="Q15" s="59">
        <v>60</v>
      </c>
      <c r="R15" s="59">
        <v>70</v>
      </c>
      <c r="S15" s="59">
        <v>80</v>
      </c>
      <c r="T15" s="59">
        <v>30</v>
      </c>
      <c r="U15" s="59">
        <v>110</v>
      </c>
      <c r="V15" s="59">
        <v>300</v>
      </c>
      <c r="W15" s="3">
        <v>64</v>
      </c>
      <c r="X15" s="3">
        <v>80</v>
      </c>
      <c r="Y15" s="3">
        <v>70</v>
      </c>
      <c r="Z15" s="3">
        <v>72</v>
      </c>
      <c r="AA15" s="3">
        <v>34</v>
      </c>
      <c r="AB15" s="3">
        <f t="shared" si="0"/>
        <v>106</v>
      </c>
      <c r="AC15" s="3">
        <f t="shared" si="1"/>
        <v>320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9" customHeight="1" x14ac:dyDescent="0.25">
      <c r="A16" s="32" t="s">
        <v>23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56"/>
      <c r="P16" s="59">
        <v>60</v>
      </c>
      <c r="Q16" s="59">
        <v>61</v>
      </c>
      <c r="R16" s="59">
        <v>80</v>
      </c>
      <c r="S16" s="59">
        <v>33</v>
      </c>
      <c r="T16" s="59">
        <v>31</v>
      </c>
      <c r="U16" s="59">
        <v>64</v>
      </c>
      <c r="V16" s="59">
        <v>265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9" customHeight="1" x14ac:dyDescent="0.25">
      <c r="A17" s="32" t="s">
        <v>24</v>
      </c>
      <c r="B17" s="36">
        <v>58</v>
      </c>
      <c r="C17" s="36">
        <v>54</v>
      </c>
      <c r="D17" s="36">
        <v>64</v>
      </c>
      <c r="E17" s="36">
        <v>66</v>
      </c>
      <c r="F17" s="36">
        <v>25</v>
      </c>
      <c r="G17" s="36">
        <v>91</v>
      </c>
      <c r="H17" s="36">
        <v>267</v>
      </c>
      <c r="I17" s="36">
        <v>56</v>
      </c>
      <c r="J17" s="36">
        <v>58</v>
      </c>
      <c r="K17" s="36">
        <v>48</v>
      </c>
      <c r="L17" s="36">
        <v>45</v>
      </c>
      <c r="M17" s="36">
        <v>36</v>
      </c>
      <c r="N17" s="36">
        <v>81</v>
      </c>
      <c r="O17" s="58">
        <v>243</v>
      </c>
      <c r="P17" s="59">
        <v>44</v>
      </c>
      <c r="Q17" s="59">
        <v>56</v>
      </c>
      <c r="R17" s="59">
        <v>62</v>
      </c>
      <c r="S17" s="59">
        <v>59</v>
      </c>
      <c r="T17" s="59">
        <v>34</v>
      </c>
      <c r="U17" s="59">
        <v>93</v>
      </c>
      <c r="V17" s="59">
        <v>255</v>
      </c>
      <c r="W17" s="3">
        <v>48</v>
      </c>
      <c r="X17" s="3">
        <v>72</v>
      </c>
      <c r="Y17" s="3">
        <v>52</v>
      </c>
      <c r="Z17" s="3">
        <v>44</v>
      </c>
      <c r="AA17" s="3">
        <v>32</v>
      </c>
      <c r="AB17" s="3">
        <f t="shared" si="0"/>
        <v>76</v>
      </c>
      <c r="AC17" s="3">
        <f t="shared" si="1"/>
        <v>248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9" customHeight="1" x14ac:dyDescent="0.25">
      <c r="A18" s="23" t="s">
        <v>25</v>
      </c>
      <c r="B18" s="36"/>
      <c r="C18" s="36"/>
      <c r="D18" s="36"/>
      <c r="E18" s="36"/>
      <c r="F18" s="36"/>
      <c r="G18" s="36"/>
      <c r="H18" s="36"/>
      <c r="I18" s="36">
        <v>46</v>
      </c>
      <c r="J18" s="36">
        <v>83</v>
      </c>
      <c r="K18" s="36">
        <v>74</v>
      </c>
      <c r="L18" s="36">
        <v>62</v>
      </c>
      <c r="M18" s="36">
        <v>35</v>
      </c>
      <c r="N18" s="36">
        <v>97</v>
      </c>
      <c r="O18" s="58">
        <v>300</v>
      </c>
      <c r="P18" s="59">
        <v>60</v>
      </c>
      <c r="Q18" s="59">
        <v>36</v>
      </c>
      <c r="R18" s="59">
        <v>78</v>
      </c>
      <c r="S18" s="59">
        <v>49</v>
      </c>
      <c r="T18" s="59">
        <v>32</v>
      </c>
      <c r="U18" s="59">
        <v>81</v>
      </c>
      <c r="V18" s="59">
        <v>255</v>
      </c>
      <c r="W18" s="3">
        <v>70</v>
      </c>
      <c r="X18" s="3">
        <v>31</v>
      </c>
      <c r="Y18" s="3">
        <v>76</v>
      </c>
      <c r="Z18" s="3">
        <v>51</v>
      </c>
      <c r="AA18" s="3">
        <v>32</v>
      </c>
      <c r="AB18" s="3">
        <f t="shared" si="0"/>
        <v>83</v>
      </c>
      <c r="AC18" s="3">
        <f t="shared" si="1"/>
        <v>260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9" customHeight="1" x14ac:dyDescent="0.25">
      <c r="A19" s="32" t="s">
        <v>26</v>
      </c>
      <c r="B19" s="36">
        <v>60</v>
      </c>
      <c r="C19" s="36">
        <v>66</v>
      </c>
      <c r="D19" s="36">
        <v>50</v>
      </c>
      <c r="E19" s="36">
        <v>44</v>
      </c>
      <c r="F19" s="36">
        <v>20</v>
      </c>
      <c r="G19" s="36">
        <v>64</v>
      </c>
      <c r="H19" s="36">
        <v>240</v>
      </c>
      <c r="I19" s="36">
        <v>60</v>
      </c>
      <c r="J19" s="36">
        <v>57</v>
      </c>
      <c r="K19" s="36">
        <v>58</v>
      </c>
      <c r="L19" s="36">
        <v>40</v>
      </c>
      <c r="M19" s="36">
        <v>28</v>
      </c>
      <c r="N19" s="36">
        <v>68</v>
      </c>
      <c r="O19" s="58">
        <v>243</v>
      </c>
      <c r="P19" s="59">
        <v>68</v>
      </c>
      <c r="Q19" s="59">
        <v>55</v>
      </c>
      <c r="R19" s="59">
        <v>82</v>
      </c>
      <c r="S19" s="59">
        <v>87</v>
      </c>
      <c r="T19" s="59">
        <v>35</v>
      </c>
      <c r="U19" s="59">
        <v>122</v>
      </c>
      <c r="V19" s="59">
        <v>327</v>
      </c>
      <c r="W19" s="3">
        <v>60</v>
      </c>
      <c r="X19" s="3">
        <v>86</v>
      </c>
      <c r="Y19" s="3">
        <v>66</v>
      </c>
      <c r="Z19" s="3">
        <v>77</v>
      </c>
      <c r="AA19" s="3">
        <v>35</v>
      </c>
      <c r="AB19" s="3">
        <f t="shared" si="0"/>
        <v>112</v>
      </c>
      <c r="AC19" s="3">
        <f t="shared" si="1"/>
        <v>324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9" customHeight="1" x14ac:dyDescent="0.25">
      <c r="A20" s="32" t="s">
        <v>27</v>
      </c>
      <c r="B20" s="36">
        <v>50</v>
      </c>
      <c r="C20" s="36">
        <v>77</v>
      </c>
      <c r="D20" s="36">
        <v>54</v>
      </c>
      <c r="E20" s="36">
        <v>65</v>
      </c>
      <c r="F20" s="36">
        <v>25</v>
      </c>
      <c r="G20" s="36">
        <v>90</v>
      </c>
      <c r="H20" s="36">
        <v>271</v>
      </c>
      <c r="I20" s="36">
        <v>64</v>
      </c>
      <c r="J20" s="36">
        <v>90</v>
      </c>
      <c r="K20" s="36">
        <v>72</v>
      </c>
      <c r="L20" s="36">
        <v>63</v>
      </c>
      <c r="M20" s="36">
        <v>39</v>
      </c>
      <c r="N20" s="36">
        <v>102</v>
      </c>
      <c r="O20" s="58">
        <v>328</v>
      </c>
      <c r="P20" s="59">
        <v>56</v>
      </c>
      <c r="Q20" s="59">
        <v>63</v>
      </c>
      <c r="R20" s="59">
        <v>68</v>
      </c>
      <c r="S20" s="59">
        <v>46</v>
      </c>
      <c r="T20" s="59">
        <v>41</v>
      </c>
      <c r="U20" s="59">
        <v>87</v>
      </c>
      <c r="V20" s="59">
        <v>274</v>
      </c>
      <c r="W20" s="3">
        <v>58</v>
      </c>
      <c r="X20" s="3">
        <v>56</v>
      </c>
      <c r="Y20" s="3">
        <v>72</v>
      </c>
      <c r="Z20" s="3">
        <v>78</v>
      </c>
      <c r="AA20" s="3">
        <v>43</v>
      </c>
      <c r="AB20" s="3">
        <f t="shared" si="0"/>
        <v>121</v>
      </c>
      <c r="AC20" s="3">
        <f t="shared" si="1"/>
        <v>307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9" customHeight="1" x14ac:dyDescent="0.25">
      <c r="A21" s="32" t="s">
        <v>28</v>
      </c>
      <c r="B21" s="36">
        <v>56</v>
      </c>
      <c r="C21" s="36">
        <v>75</v>
      </c>
      <c r="D21" s="36">
        <v>26</v>
      </c>
      <c r="E21" s="36">
        <v>53</v>
      </c>
      <c r="F21" s="36">
        <v>14</v>
      </c>
      <c r="G21" s="36">
        <v>67</v>
      </c>
      <c r="H21" s="36">
        <v>224</v>
      </c>
      <c r="I21" s="36">
        <v>50</v>
      </c>
      <c r="J21" s="36">
        <v>84</v>
      </c>
      <c r="K21" s="36">
        <v>56</v>
      </c>
      <c r="L21" s="36">
        <v>34</v>
      </c>
      <c r="M21" s="36">
        <v>17</v>
      </c>
      <c r="N21" s="36">
        <v>51</v>
      </c>
      <c r="O21" s="58">
        <v>241</v>
      </c>
      <c r="P21" s="59"/>
      <c r="Q21" s="59"/>
      <c r="R21" s="59"/>
      <c r="S21" s="59"/>
      <c r="T21" s="59"/>
      <c r="U21" s="59"/>
      <c r="V21" s="59"/>
      <c r="W21" s="3">
        <v>54</v>
      </c>
      <c r="X21" s="3">
        <v>83</v>
      </c>
      <c r="Y21" s="3">
        <v>68</v>
      </c>
      <c r="Z21" s="3">
        <v>67</v>
      </c>
      <c r="AA21" s="3">
        <v>22</v>
      </c>
      <c r="AB21" s="3">
        <f t="shared" si="0"/>
        <v>89</v>
      </c>
      <c r="AC21" s="3">
        <f t="shared" si="1"/>
        <v>294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9" customHeight="1" x14ac:dyDescent="0.25">
      <c r="A22" s="32" t="s">
        <v>29</v>
      </c>
      <c r="B22" s="36">
        <v>70</v>
      </c>
      <c r="C22" s="36">
        <v>91</v>
      </c>
      <c r="D22" s="36">
        <v>61</v>
      </c>
      <c r="E22" s="36">
        <v>38</v>
      </c>
      <c r="F22" s="36">
        <v>31</v>
      </c>
      <c r="G22" s="36">
        <v>69</v>
      </c>
      <c r="H22" s="36">
        <v>291</v>
      </c>
      <c r="I22" s="36">
        <v>64</v>
      </c>
      <c r="J22" s="36">
        <v>100</v>
      </c>
      <c r="K22" s="36">
        <v>62</v>
      </c>
      <c r="L22" s="36">
        <v>48</v>
      </c>
      <c r="M22" s="36">
        <v>34</v>
      </c>
      <c r="N22" s="36">
        <v>82</v>
      </c>
      <c r="O22" s="58">
        <v>308</v>
      </c>
      <c r="P22" s="59">
        <v>58</v>
      </c>
      <c r="Q22" s="59">
        <v>61</v>
      </c>
      <c r="R22" s="59">
        <v>68</v>
      </c>
      <c r="S22" s="59">
        <v>46</v>
      </c>
      <c r="T22" s="59">
        <v>36</v>
      </c>
      <c r="U22" s="59">
        <v>82</v>
      </c>
      <c r="V22" s="59">
        <v>269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9" customHeight="1" x14ac:dyDescent="0.25">
      <c r="A23" s="37" t="s">
        <v>30</v>
      </c>
      <c r="B23" s="36">
        <v>78</v>
      </c>
      <c r="C23" s="36">
        <v>93</v>
      </c>
      <c r="D23" s="36">
        <v>67</v>
      </c>
      <c r="E23" s="36">
        <v>85</v>
      </c>
      <c r="F23" s="36">
        <v>31</v>
      </c>
      <c r="G23" s="36">
        <v>116</v>
      </c>
      <c r="H23" s="36">
        <v>354</v>
      </c>
      <c r="I23" s="36">
        <v>72</v>
      </c>
      <c r="J23" s="36">
        <v>100</v>
      </c>
      <c r="K23" s="36">
        <v>76</v>
      </c>
      <c r="L23" s="36">
        <v>91</v>
      </c>
      <c r="M23" s="36">
        <v>39</v>
      </c>
      <c r="N23" s="36">
        <v>130</v>
      </c>
      <c r="O23" s="58">
        <v>378</v>
      </c>
      <c r="P23" s="59">
        <v>82</v>
      </c>
      <c r="Q23" s="59">
        <v>98</v>
      </c>
      <c r="R23" s="59">
        <v>86</v>
      </c>
      <c r="S23" s="59">
        <v>97</v>
      </c>
      <c r="T23" s="59">
        <v>31</v>
      </c>
      <c r="U23" s="59">
        <v>128</v>
      </c>
      <c r="V23" s="59">
        <v>394</v>
      </c>
      <c r="W23" s="3">
        <v>88</v>
      </c>
      <c r="X23" s="3">
        <v>100</v>
      </c>
      <c r="Y23" s="3">
        <v>68</v>
      </c>
      <c r="Z23" s="3">
        <v>82</v>
      </c>
      <c r="AA23" s="3">
        <v>41</v>
      </c>
      <c r="AB23" s="3">
        <f t="shared" si="0"/>
        <v>123</v>
      </c>
      <c r="AC23" s="3">
        <f t="shared" si="1"/>
        <v>379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9" customHeight="1" x14ac:dyDescent="0.25">
      <c r="A24" s="32" t="s">
        <v>31</v>
      </c>
      <c r="B24" s="36">
        <v>68</v>
      </c>
      <c r="C24" s="36">
        <v>87</v>
      </c>
      <c r="D24" s="36">
        <v>66</v>
      </c>
      <c r="E24" s="36">
        <v>85</v>
      </c>
      <c r="F24" s="36">
        <v>34</v>
      </c>
      <c r="G24" s="36">
        <v>119</v>
      </c>
      <c r="H24" s="36">
        <v>340</v>
      </c>
      <c r="I24" s="36">
        <v>68</v>
      </c>
      <c r="J24" s="36">
        <v>100</v>
      </c>
      <c r="K24" s="36">
        <v>82</v>
      </c>
      <c r="L24" s="36">
        <v>91</v>
      </c>
      <c r="M24" s="36">
        <v>38</v>
      </c>
      <c r="N24" s="36">
        <v>129</v>
      </c>
      <c r="O24" s="58">
        <v>379</v>
      </c>
      <c r="P24" s="59">
        <v>70</v>
      </c>
      <c r="Q24" s="59">
        <v>93</v>
      </c>
      <c r="R24" s="59">
        <v>92</v>
      </c>
      <c r="S24" s="59">
        <v>82</v>
      </c>
      <c r="T24" s="59">
        <v>32</v>
      </c>
      <c r="U24" s="59">
        <v>114</v>
      </c>
      <c r="V24" s="59">
        <v>369</v>
      </c>
      <c r="W24" s="3">
        <v>66</v>
      </c>
      <c r="X24" s="3">
        <v>99</v>
      </c>
      <c r="Y24" s="3">
        <v>78</v>
      </c>
      <c r="Z24" s="3">
        <v>94</v>
      </c>
      <c r="AA24" s="3">
        <v>41</v>
      </c>
      <c r="AB24" s="3">
        <f t="shared" si="0"/>
        <v>135</v>
      </c>
      <c r="AC24" s="3">
        <f t="shared" si="1"/>
        <v>378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9" customHeight="1" x14ac:dyDescent="0.25">
      <c r="A25" s="32" t="s">
        <v>32</v>
      </c>
      <c r="B25" s="36">
        <v>68</v>
      </c>
      <c r="C25" s="36">
        <v>76</v>
      </c>
      <c r="D25" s="36">
        <v>49</v>
      </c>
      <c r="E25" s="36">
        <v>82</v>
      </c>
      <c r="F25" s="36">
        <v>37</v>
      </c>
      <c r="G25" s="36">
        <v>119</v>
      </c>
      <c r="H25" s="36">
        <v>312</v>
      </c>
      <c r="I25" s="36"/>
      <c r="J25" s="36"/>
      <c r="K25" s="36"/>
      <c r="L25" s="36"/>
      <c r="M25" s="36"/>
      <c r="N25" s="36"/>
      <c r="O25" s="58"/>
      <c r="P25" s="59"/>
      <c r="Q25" s="59"/>
      <c r="R25" s="59"/>
      <c r="S25" s="59"/>
      <c r="T25" s="59"/>
      <c r="U25" s="59"/>
      <c r="V25" s="59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9" customHeight="1" x14ac:dyDescent="0.25">
      <c r="A26" s="37" t="s">
        <v>33</v>
      </c>
      <c r="B26" s="36">
        <v>64</v>
      </c>
      <c r="C26" s="36">
        <v>72</v>
      </c>
      <c r="D26" s="36">
        <v>74</v>
      </c>
      <c r="E26" s="36">
        <v>69</v>
      </c>
      <c r="F26" s="36">
        <v>29</v>
      </c>
      <c r="G26" s="36">
        <v>98</v>
      </c>
      <c r="H26" s="36">
        <v>308</v>
      </c>
      <c r="I26" s="36">
        <v>70</v>
      </c>
      <c r="J26" s="36">
        <v>78</v>
      </c>
      <c r="K26" s="36">
        <v>70</v>
      </c>
      <c r="L26" s="36">
        <v>39</v>
      </c>
      <c r="M26" s="36">
        <v>35</v>
      </c>
      <c r="N26" s="36">
        <v>74</v>
      </c>
      <c r="O26" s="58">
        <v>292</v>
      </c>
      <c r="P26" s="59">
        <v>68</v>
      </c>
      <c r="Q26" s="59">
        <v>62</v>
      </c>
      <c r="R26" s="59">
        <v>66</v>
      </c>
      <c r="S26" s="59">
        <v>62</v>
      </c>
      <c r="T26" s="59">
        <v>33</v>
      </c>
      <c r="U26" s="59">
        <v>95</v>
      </c>
      <c r="V26" s="59">
        <v>291</v>
      </c>
      <c r="W26" s="3">
        <v>74</v>
      </c>
      <c r="X26" s="3">
        <v>82</v>
      </c>
      <c r="Y26" s="3">
        <v>78</v>
      </c>
      <c r="Z26" s="3">
        <v>60</v>
      </c>
      <c r="AA26" s="3">
        <v>36</v>
      </c>
      <c r="AB26" s="3">
        <f t="shared" si="0"/>
        <v>96</v>
      </c>
      <c r="AC26" s="3">
        <f t="shared" si="1"/>
        <v>330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9" customHeight="1" x14ac:dyDescent="0.25">
      <c r="A27" s="32" t="s">
        <v>34</v>
      </c>
      <c r="B27" s="37"/>
      <c r="C27" s="37"/>
      <c r="D27" s="37"/>
      <c r="E27" s="37"/>
      <c r="F27" s="37"/>
      <c r="G27" s="37"/>
      <c r="H27" s="37"/>
      <c r="I27" s="37">
        <v>50</v>
      </c>
      <c r="J27" s="37">
        <v>88</v>
      </c>
      <c r="K27" s="37">
        <v>80</v>
      </c>
      <c r="L27" s="37">
        <v>77</v>
      </c>
      <c r="M27" s="37">
        <v>41</v>
      </c>
      <c r="N27" s="37">
        <v>118</v>
      </c>
      <c r="O27" s="56">
        <v>336</v>
      </c>
      <c r="P27" s="59"/>
      <c r="Q27" s="59"/>
      <c r="R27" s="59"/>
      <c r="S27" s="59"/>
      <c r="T27" s="59"/>
      <c r="U27" s="59"/>
      <c r="V27" s="59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9" customHeight="1" x14ac:dyDescent="0.25">
      <c r="A28" s="32" t="s">
        <v>35</v>
      </c>
      <c r="B28" s="36">
        <v>80</v>
      </c>
      <c r="C28" s="36">
        <v>87</v>
      </c>
      <c r="D28" s="36">
        <v>52</v>
      </c>
      <c r="E28" s="36">
        <v>91</v>
      </c>
      <c r="F28" s="36">
        <v>32</v>
      </c>
      <c r="G28" s="36">
        <v>123</v>
      </c>
      <c r="H28" s="36">
        <v>342</v>
      </c>
      <c r="I28" s="36">
        <v>74</v>
      </c>
      <c r="J28" s="36">
        <v>84</v>
      </c>
      <c r="K28" s="36">
        <v>68</v>
      </c>
      <c r="L28" s="36">
        <v>79</v>
      </c>
      <c r="M28" s="36">
        <v>31</v>
      </c>
      <c r="N28" s="36">
        <v>110</v>
      </c>
      <c r="O28" s="58">
        <v>336</v>
      </c>
      <c r="P28" s="59"/>
      <c r="Q28" s="59"/>
      <c r="R28" s="59"/>
      <c r="S28" s="59"/>
      <c r="T28" s="59"/>
      <c r="U28" s="59"/>
      <c r="V28" s="59"/>
      <c r="W28" s="3">
        <v>86</v>
      </c>
      <c r="X28" s="3">
        <v>84</v>
      </c>
      <c r="Y28" s="3">
        <v>40</v>
      </c>
      <c r="Z28" s="3">
        <v>75</v>
      </c>
      <c r="AA28" s="3">
        <v>41</v>
      </c>
      <c r="AB28" s="3">
        <f t="shared" si="0"/>
        <v>116</v>
      </c>
      <c r="AC28" s="3">
        <f t="shared" si="1"/>
        <v>326</v>
      </c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9" customHeight="1" x14ac:dyDescent="0.25">
      <c r="A29" s="32" t="s">
        <v>36</v>
      </c>
      <c r="B29" s="37">
        <v>78</v>
      </c>
      <c r="C29" s="37">
        <v>67</v>
      </c>
      <c r="D29" s="37">
        <v>67</v>
      </c>
      <c r="E29" s="37">
        <v>49</v>
      </c>
      <c r="F29" s="37">
        <v>37</v>
      </c>
      <c r="G29" s="37">
        <v>86</v>
      </c>
      <c r="H29" s="37">
        <v>298</v>
      </c>
      <c r="I29" s="37">
        <v>76</v>
      </c>
      <c r="J29" s="37">
        <v>89</v>
      </c>
      <c r="K29" s="37">
        <v>68</v>
      </c>
      <c r="L29" s="37">
        <v>45</v>
      </c>
      <c r="M29" s="37">
        <v>38</v>
      </c>
      <c r="N29" s="37">
        <v>83</v>
      </c>
      <c r="O29" s="56">
        <v>316</v>
      </c>
      <c r="P29" s="59">
        <v>80</v>
      </c>
      <c r="Q29" s="59">
        <v>61</v>
      </c>
      <c r="R29" s="59">
        <v>66</v>
      </c>
      <c r="S29" s="59"/>
      <c r="T29" s="59"/>
      <c r="U29" s="59"/>
      <c r="V29" s="59">
        <v>207</v>
      </c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</sheetData>
  <sheetProtection formatCells="0" formatColumns="0" formatRows="0" insertColumns="0" insertRows="0" insertHyperlinks="0" deleteColumns="0" deleteRows="0" sort="0" autoFilter="0" pivotTables="0"/>
  <mergeCells count="4">
    <mergeCell ref="P1:V1"/>
    <mergeCell ref="W1:AC1"/>
    <mergeCell ref="B1:H1"/>
    <mergeCell ref="I1:O1"/>
  </mergeCells>
  <phoneticPr fontId="15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26"/>
  <sheetViews>
    <sheetView zoomScale="55" zoomScaleNormal="55" workbookViewId="0">
      <pane xSplit="1" ySplit="1" topLeftCell="B2" activePane="bottomRight" state="frozen"/>
      <selection pane="topRight"/>
      <selection pane="bottomLeft"/>
      <selection pane="bottomRight" activeCell="AB2" activeCellId="3" sqref="D2 L2 T2 AB2"/>
    </sheetView>
  </sheetViews>
  <sheetFormatPr defaultColWidth="9.6328125" defaultRowHeight="14" x14ac:dyDescent="0.25"/>
  <cols>
    <col min="1" max="1" width="16.6328125" customWidth="1"/>
    <col min="10" max="12" width="12.6328125"/>
    <col min="14" max="16" width="12.6328125"/>
    <col min="18" max="18" width="9.90625" customWidth="1"/>
    <col min="19" max="19" width="10.26953125" customWidth="1"/>
    <col min="20" max="20" width="10.6328125" customWidth="1"/>
    <col min="21" max="21" width="9.54296875" customWidth="1"/>
    <col min="22" max="22" width="8.90625" customWidth="1"/>
    <col min="23" max="23" width="8.81640625" customWidth="1"/>
    <col min="24" max="24" width="8.453125" customWidth="1"/>
    <col min="25" max="25" width="10.54296875" customWidth="1"/>
  </cols>
  <sheetData>
    <row r="1" spans="1:33" ht="17.5" x14ac:dyDescent="0.25">
      <c r="A1" s="18" t="s">
        <v>37</v>
      </c>
      <c r="B1" s="88" t="s">
        <v>0</v>
      </c>
      <c r="C1" s="89"/>
      <c r="D1" s="89"/>
      <c r="E1" s="89"/>
      <c r="F1" s="89"/>
      <c r="G1" s="89"/>
      <c r="H1" s="89"/>
      <c r="I1" s="89"/>
      <c r="J1" s="88" t="s">
        <v>1</v>
      </c>
      <c r="K1" s="89"/>
      <c r="L1" s="89"/>
      <c r="M1" s="89"/>
      <c r="N1" s="89"/>
      <c r="O1" s="89"/>
      <c r="P1" s="89"/>
      <c r="Q1" s="89"/>
      <c r="R1" s="90" t="s">
        <v>2</v>
      </c>
      <c r="S1" s="91"/>
      <c r="T1" s="91"/>
      <c r="U1" s="91"/>
      <c r="V1" s="91"/>
      <c r="W1" s="91"/>
      <c r="X1" s="91"/>
      <c r="Y1" s="91"/>
      <c r="Z1" s="86" t="s">
        <v>38</v>
      </c>
      <c r="AA1" s="87"/>
      <c r="AB1" s="87"/>
      <c r="AC1" s="87"/>
      <c r="AD1" s="87"/>
      <c r="AE1" s="87"/>
      <c r="AF1" s="87"/>
      <c r="AG1" s="87"/>
    </row>
    <row r="2" spans="1:33" ht="17.5" x14ac:dyDescent="0.25">
      <c r="A2" s="9" t="s">
        <v>5</v>
      </c>
      <c r="B2" s="12" t="s">
        <v>3</v>
      </c>
      <c r="C2" s="12" t="s">
        <v>4</v>
      </c>
      <c r="D2" s="61" t="s">
        <v>528</v>
      </c>
      <c r="E2" s="12" t="s">
        <v>6</v>
      </c>
      <c r="F2" s="12" t="s">
        <v>7</v>
      </c>
      <c r="G2" s="12" t="s">
        <v>39</v>
      </c>
      <c r="H2" s="12" t="s">
        <v>8</v>
      </c>
      <c r="I2" s="12" t="s">
        <v>9</v>
      </c>
      <c r="J2" s="12" t="s">
        <v>3</v>
      </c>
      <c r="K2" s="12" t="s">
        <v>4</v>
      </c>
      <c r="L2" s="61" t="s">
        <v>528</v>
      </c>
      <c r="M2" s="12" t="s">
        <v>6</v>
      </c>
      <c r="N2" s="12" t="s">
        <v>7</v>
      </c>
      <c r="O2" s="12" t="s">
        <v>39</v>
      </c>
      <c r="P2" s="12" t="s">
        <v>8</v>
      </c>
      <c r="Q2" s="12" t="s">
        <v>9</v>
      </c>
      <c r="R2" s="12" t="s">
        <v>3</v>
      </c>
      <c r="S2" s="12" t="s">
        <v>4</v>
      </c>
      <c r="T2" s="61" t="s">
        <v>528</v>
      </c>
      <c r="U2" s="12" t="s">
        <v>6</v>
      </c>
      <c r="V2" s="12" t="s">
        <v>7</v>
      </c>
      <c r="W2" s="12" t="s">
        <v>39</v>
      </c>
      <c r="X2" s="12" t="s">
        <v>8</v>
      </c>
      <c r="Y2" s="12" t="s">
        <v>9</v>
      </c>
      <c r="Z2" s="12" t="s">
        <v>3</v>
      </c>
      <c r="AA2" s="12" t="s">
        <v>4</v>
      </c>
      <c r="AB2" s="61" t="s">
        <v>528</v>
      </c>
      <c r="AC2" s="12" t="s">
        <v>6</v>
      </c>
      <c r="AD2" s="12" t="s">
        <v>7</v>
      </c>
      <c r="AE2" s="12" t="s">
        <v>39</v>
      </c>
      <c r="AF2" s="12" t="s">
        <v>8</v>
      </c>
      <c r="AG2" s="12" t="s">
        <v>9</v>
      </c>
    </row>
    <row r="3" spans="1:33" ht="17.5" x14ac:dyDescent="0.25">
      <c r="A3" s="9" t="s">
        <v>40</v>
      </c>
      <c r="B3" s="33">
        <v>82</v>
      </c>
      <c r="C3" s="33">
        <v>76</v>
      </c>
      <c r="D3" s="33">
        <v>80</v>
      </c>
      <c r="E3" s="33">
        <v>54</v>
      </c>
      <c r="F3" s="33">
        <v>35</v>
      </c>
      <c r="G3" s="33">
        <v>33</v>
      </c>
      <c r="H3" s="33">
        <v>122</v>
      </c>
      <c r="I3" s="33">
        <v>360</v>
      </c>
      <c r="J3" s="2">
        <v>74</v>
      </c>
      <c r="K3" s="2">
        <v>57</v>
      </c>
      <c r="L3" s="2">
        <v>92</v>
      </c>
      <c r="M3" s="2">
        <v>29</v>
      </c>
      <c r="N3" s="2">
        <v>41</v>
      </c>
      <c r="O3" s="2">
        <v>30</v>
      </c>
      <c r="P3" s="2">
        <v>100</v>
      </c>
      <c r="Q3" s="2">
        <v>323</v>
      </c>
      <c r="R3" s="33">
        <v>80</v>
      </c>
      <c r="S3" s="33">
        <v>75</v>
      </c>
      <c r="T3" s="33">
        <v>90</v>
      </c>
      <c r="U3" s="33">
        <v>37</v>
      </c>
      <c r="V3" s="33">
        <v>40</v>
      </c>
      <c r="W3" s="33">
        <v>29</v>
      </c>
      <c r="X3" s="33">
        <v>106</v>
      </c>
      <c r="Y3" s="33">
        <v>351</v>
      </c>
      <c r="Z3" s="33">
        <v>82</v>
      </c>
      <c r="AA3" s="33">
        <v>75</v>
      </c>
      <c r="AB3" s="33">
        <v>84</v>
      </c>
      <c r="AC3" s="33">
        <v>47</v>
      </c>
      <c r="AD3" s="33">
        <v>34</v>
      </c>
      <c r="AE3" s="33">
        <v>29</v>
      </c>
      <c r="AF3" s="33">
        <v>110</v>
      </c>
      <c r="AG3" s="33">
        <v>351</v>
      </c>
    </row>
    <row r="4" spans="1:33" ht="17.5" x14ac:dyDescent="0.25">
      <c r="A4" s="9" t="s">
        <v>41</v>
      </c>
      <c r="B4" s="33">
        <v>62</v>
      </c>
      <c r="C4" s="33">
        <v>72</v>
      </c>
      <c r="D4" s="33">
        <v>68</v>
      </c>
      <c r="E4" s="33">
        <v>40</v>
      </c>
      <c r="F4" s="33">
        <v>42</v>
      </c>
      <c r="G4" s="33">
        <v>27</v>
      </c>
      <c r="H4" s="33">
        <v>109</v>
      </c>
      <c r="I4" s="33">
        <v>311</v>
      </c>
      <c r="J4" s="2">
        <v>64</v>
      </c>
      <c r="K4" s="2">
        <v>78</v>
      </c>
      <c r="L4" s="2">
        <v>86</v>
      </c>
      <c r="M4" s="2">
        <v>27</v>
      </c>
      <c r="N4" s="2">
        <v>34</v>
      </c>
      <c r="O4" s="2">
        <v>25</v>
      </c>
      <c r="P4" s="2">
        <v>86</v>
      </c>
      <c r="Q4" s="2">
        <v>314</v>
      </c>
      <c r="R4" s="33">
        <v>70</v>
      </c>
      <c r="S4" s="33">
        <v>67</v>
      </c>
      <c r="T4" s="33">
        <v>68</v>
      </c>
      <c r="U4" s="33">
        <v>32</v>
      </c>
      <c r="V4" s="33">
        <v>30</v>
      </c>
      <c r="W4" s="33">
        <v>18</v>
      </c>
      <c r="X4" s="33">
        <v>80</v>
      </c>
      <c r="Y4" s="33">
        <v>285</v>
      </c>
      <c r="Z4" s="33">
        <v>76</v>
      </c>
      <c r="AA4" s="33">
        <v>83</v>
      </c>
      <c r="AB4" s="33">
        <v>81</v>
      </c>
      <c r="AC4" s="33">
        <v>24</v>
      </c>
      <c r="AD4" s="33">
        <v>36</v>
      </c>
      <c r="AE4" s="33">
        <v>11</v>
      </c>
      <c r="AF4" s="33">
        <v>71</v>
      </c>
      <c r="AG4" s="33">
        <v>311</v>
      </c>
    </row>
    <row r="5" spans="1:33" ht="17.5" x14ac:dyDescent="0.25">
      <c r="A5" s="9" t="s">
        <v>42</v>
      </c>
      <c r="B5" s="33"/>
      <c r="C5" s="33"/>
      <c r="D5" s="33"/>
      <c r="E5" s="33"/>
      <c r="F5" s="33"/>
      <c r="G5" s="33"/>
      <c r="H5" s="33"/>
      <c r="I5" s="33"/>
      <c r="J5" s="2"/>
      <c r="K5" s="2"/>
      <c r="L5" s="2"/>
      <c r="M5" s="2"/>
      <c r="N5" s="2"/>
      <c r="O5" s="2"/>
      <c r="P5" s="2"/>
      <c r="Q5" s="2"/>
      <c r="R5" s="12"/>
      <c r="S5" s="12"/>
      <c r="T5" s="12"/>
      <c r="U5" s="12"/>
      <c r="V5" s="12"/>
      <c r="W5" s="12"/>
      <c r="X5" s="12"/>
      <c r="Y5" s="12"/>
      <c r="Z5" s="33"/>
      <c r="AA5" s="33"/>
      <c r="AB5" s="33"/>
      <c r="AC5" s="33"/>
      <c r="AD5" s="33"/>
      <c r="AE5" s="33"/>
      <c r="AF5" s="33"/>
      <c r="AG5" s="33"/>
    </row>
    <row r="6" spans="1:33" ht="17.5" x14ac:dyDescent="0.25">
      <c r="A6" s="9" t="s">
        <v>43</v>
      </c>
      <c r="B6" s="33">
        <v>90</v>
      </c>
      <c r="C6" s="33">
        <v>97</v>
      </c>
      <c r="D6" s="33">
        <v>94</v>
      </c>
      <c r="E6" s="33">
        <v>54</v>
      </c>
      <c r="F6" s="33">
        <v>40</v>
      </c>
      <c r="G6" s="33">
        <v>34</v>
      </c>
      <c r="H6" s="33">
        <v>128</v>
      </c>
      <c r="I6" s="33">
        <v>409</v>
      </c>
      <c r="J6" s="2"/>
      <c r="K6" s="2"/>
      <c r="L6" s="2"/>
      <c r="M6" s="2"/>
      <c r="N6" s="2"/>
      <c r="O6" s="2"/>
      <c r="P6" s="2"/>
      <c r="Q6" s="2"/>
      <c r="R6" s="33">
        <v>94</v>
      </c>
      <c r="S6" s="33">
        <v>93</v>
      </c>
      <c r="T6" s="33">
        <v>88</v>
      </c>
      <c r="U6" s="33">
        <v>50</v>
      </c>
      <c r="V6" s="33">
        <v>42</v>
      </c>
      <c r="W6" s="33">
        <v>32</v>
      </c>
      <c r="X6" s="33">
        <v>124</v>
      </c>
      <c r="Y6" s="33">
        <v>399</v>
      </c>
      <c r="Z6" s="33">
        <v>98</v>
      </c>
      <c r="AA6" s="33">
        <v>96</v>
      </c>
      <c r="AB6" s="33">
        <v>94</v>
      </c>
      <c r="AC6" s="33">
        <v>46</v>
      </c>
      <c r="AD6" s="33">
        <v>45</v>
      </c>
      <c r="AE6" s="33">
        <v>40</v>
      </c>
      <c r="AF6" s="33">
        <v>131</v>
      </c>
      <c r="AG6" s="33">
        <v>419</v>
      </c>
    </row>
    <row r="7" spans="1:33" ht="17.5" x14ac:dyDescent="0.25">
      <c r="A7" s="9" t="s">
        <v>44</v>
      </c>
      <c r="B7" s="33">
        <v>76</v>
      </c>
      <c r="C7" s="33">
        <v>77</v>
      </c>
      <c r="D7" s="33">
        <v>92</v>
      </c>
      <c r="E7" s="33">
        <v>43</v>
      </c>
      <c r="F7" s="33">
        <v>35</v>
      </c>
      <c r="G7" s="33">
        <v>30</v>
      </c>
      <c r="H7" s="33">
        <v>108</v>
      </c>
      <c r="I7" s="33">
        <v>353</v>
      </c>
      <c r="J7" s="2">
        <v>66</v>
      </c>
      <c r="K7" s="2">
        <v>60</v>
      </c>
      <c r="L7" s="2">
        <v>83</v>
      </c>
      <c r="M7" s="2">
        <v>32</v>
      </c>
      <c r="N7" s="2">
        <v>36</v>
      </c>
      <c r="O7" s="2">
        <v>33</v>
      </c>
      <c r="P7" s="2">
        <v>101</v>
      </c>
      <c r="Q7" s="2">
        <v>310</v>
      </c>
      <c r="R7" s="33">
        <v>88</v>
      </c>
      <c r="S7" s="33">
        <v>77</v>
      </c>
      <c r="T7" s="33">
        <v>79</v>
      </c>
      <c r="U7" s="33">
        <v>38</v>
      </c>
      <c r="V7" s="33">
        <v>40</v>
      </c>
      <c r="W7" s="33">
        <v>26</v>
      </c>
      <c r="X7" s="33">
        <v>104</v>
      </c>
      <c r="Y7" s="33">
        <v>348</v>
      </c>
      <c r="Z7" s="33">
        <v>76</v>
      </c>
      <c r="AA7" s="33">
        <v>85</v>
      </c>
      <c r="AB7" s="33">
        <v>75</v>
      </c>
      <c r="AC7" s="33">
        <v>24</v>
      </c>
      <c r="AD7" s="33">
        <v>33</v>
      </c>
      <c r="AE7" s="33">
        <v>11</v>
      </c>
      <c r="AF7" s="33">
        <v>68</v>
      </c>
      <c r="AG7" s="33">
        <v>304</v>
      </c>
    </row>
    <row r="8" spans="1:33" ht="17.5" x14ac:dyDescent="0.25">
      <c r="A8" s="9" t="s">
        <v>45</v>
      </c>
      <c r="B8" s="33">
        <v>78</v>
      </c>
      <c r="C8" s="33">
        <v>83</v>
      </c>
      <c r="D8" s="33">
        <v>33</v>
      </c>
      <c r="E8" s="33">
        <v>48</v>
      </c>
      <c r="F8" s="33">
        <v>34</v>
      </c>
      <c r="G8" s="33">
        <v>29</v>
      </c>
      <c r="H8" s="33">
        <v>111</v>
      </c>
      <c r="I8" s="33">
        <v>305</v>
      </c>
      <c r="J8" s="2"/>
      <c r="K8" s="2"/>
      <c r="L8" s="2"/>
      <c r="M8" s="2"/>
      <c r="N8" s="2"/>
      <c r="O8" s="2"/>
      <c r="P8" s="2"/>
      <c r="Q8" s="2"/>
      <c r="R8" s="33">
        <v>70</v>
      </c>
      <c r="S8" s="33">
        <v>81</v>
      </c>
      <c r="T8" s="33">
        <v>47</v>
      </c>
      <c r="U8" s="33">
        <v>27</v>
      </c>
      <c r="V8" s="33">
        <v>41</v>
      </c>
      <c r="W8" s="33">
        <v>16</v>
      </c>
      <c r="X8" s="33">
        <v>84</v>
      </c>
      <c r="Y8" s="33">
        <v>282</v>
      </c>
      <c r="Z8" s="33">
        <v>90</v>
      </c>
      <c r="AA8" s="33">
        <v>74</v>
      </c>
      <c r="AB8" s="33">
        <v>58</v>
      </c>
      <c r="AC8" s="33">
        <v>27</v>
      </c>
      <c r="AD8" s="33">
        <v>35</v>
      </c>
      <c r="AE8" s="33">
        <v>34</v>
      </c>
      <c r="AF8" s="33">
        <v>96</v>
      </c>
      <c r="AG8" s="33">
        <v>318</v>
      </c>
    </row>
    <row r="9" spans="1:33" ht="17.5" x14ac:dyDescent="0.25">
      <c r="A9" s="9" t="s">
        <v>46</v>
      </c>
      <c r="B9" s="33">
        <v>86</v>
      </c>
      <c r="C9" s="33">
        <v>96</v>
      </c>
      <c r="D9" s="33">
        <v>91</v>
      </c>
      <c r="E9" s="33">
        <v>45</v>
      </c>
      <c r="F9" s="33">
        <v>39</v>
      </c>
      <c r="G9" s="33">
        <v>33</v>
      </c>
      <c r="H9" s="33">
        <v>117</v>
      </c>
      <c r="I9" s="33">
        <v>390</v>
      </c>
      <c r="J9" s="2">
        <v>88</v>
      </c>
      <c r="K9" s="2">
        <v>88</v>
      </c>
      <c r="L9" s="2">
        <v>94</v>
      </c>
      <c r="M9" s="2">
        <v>27</v>
      </c>
      <c r="N9" s="2">
        <v>39</v>
      </c>
      <c r="O9" s="2">
        <v>31</v>
      </c>
      <c r="P9" s="2">
        <v>97</v>
      </c>
      <c r="Q9" s="2">
        <v>367</v>
      </c>
      <c r="R9" s="33">
        <v>94</v>
      </c>
      <c r="S9" s="33">
        <v>99</v>
      </c>
      <c r="T9" s="33">
        <v>88</v>
      </c>
      <c r="U9" s="33">
        <v>44</v>
      </c>
      <c r="V9" s="33">
        <v>36</v>
      </c>
      <c r="W9" s="33">
        <v>27</v>
      </c>
      <c r="X9" s="33">
        <v>107</v>
      </c>
      <c r="Y9" s="33">
        <v>388</v>
      </c>
      <c r="Z9" s="33">
        <v>96</v>
      </c>
      <c r="AA9" s="33">
        <v>96</v>
      </c>
      <c r="AB9" s="33">
        <v>88</v>
      </c>
      <c r="AC9" s="33">
        <v>46</v>
      </c>
      <c r="AD9" s="33">
        <v>45</v>
      </c>
      <c r="AE9" s="33">
        <v>38</v>
      </c>
      <c r="AF9" s="33">
        <v>129</v>
      </c>
      <c r="AG9" s="33">
        <v>409</v>
      </c>
    </row>
    <row r="10" spans="1:33" ht="17.5" x14ac:dyDescent="0.25">
      <c r="A10" s="9" t="s">
        <v>47</v>
      </c>
      <c r="B10" s="33">
        <v>64</v>
      </c>
      <c r="C10" s="33">
        <v>86</v>
      </c>
      <c r="D10" s="33">
        <v>62</v>
      </c>
      <c r="E10" s="33">
        <v>42</v>
      </c>
      <c r="F10" s="33">
        <v>33</v>
      </c>
      <c r="G10" s="33">
        <v>23</v>
      </c>
      <c r="H10" s="33">
        <v>98</v>
      </c>
      <c r="I10" s="33">
        <v>310</v>
      </c>
      <c r="J10" s="2">
        <v>58</v>
      </c>
      <c r="K10" s="2">
        <v>77</v>
      </c>
      <c r="L10" s="2">
        <v>74</v>
      </c>
      <c r="M10" s="2">
        <v>33</v>
      </c>
      <c r="N10" s="2">
        <v>32</v>
      </c>
      <c r="O10" s="2">
        <v>28</v>
      </c>
      <c r="P10" s="2">
        <v>93</v>
      </c>
      <c r="Q10" s="2">
        <v>302</v>
      </c>
      <c r="R10" s="33">
        <v>72</v>
      </c>
      <c r="S10" s="33">
        <v>84</v>
      </c>
      <c r="T10" s="33">
        <v>76</v>
      </c>
      <c r="U10" s="33">
        <v>26</v>
      </c>
      <c r="V10" s="33">
        <v>28</v>
      </c>
      <c r="W10" s="33">
        <v>27</v>
      </c>
      <c r="X10" s="33">
        <v>81</v>
      </c>
      <c r="Y10" s="33">
        <v>313</v>
      </c>
      <c r="Z10" s="33">
        <v>84</v>
      </c>
      <c r="AA10" s="33">
        <v>86</v>
      </c>
      <c r="AB10" s="33">
        <v>63</v>
      </c>
      <c r="AC10" s="33">
        <v>24</v>
      </c>
      <c r="AD10" s="33">
        <v>27</v>
      </c>
      <c r="AE10" s="33">
        <v>5</v>
      </c>
      <c r="AF10" s="33">
        <v>56</v>
      </c>
      <c r="AG10" s="33">
        <v>289</v>
      </c>
    </row>
    <row r="11" spans="1:33" ht="17.5" x14ac:dyDescent="0.25">
      <c r="A11" s="9" t="s">
        <v>48</v>
      </c>
      <c r="B11" s="33">
        <v>82</v>
      </c>
      <c r="C11" s="33">
        <v>99</v>
      </c>
      <c r="D11" s="33">
        <v>77</v>
      </c>
      <c r="E11" s="33">
        <v>55</v>
      </c>
      <c r="F11" s="33">
        <v>37</v>
      </c>
      <c r="G11" s="33">
        <v>30</v>
      </c>
      <c r="H11" s="33">
        <v>122</v>
      </c>
      <c r="I11" s="33">
        <v>380</v>
      </c>
      <c r="J11" s="2">
        <v>72</v>
      </c>
      <c r="K11" s="2">
        <v>96</v>
      </c>
      <c r="L11" s="2">
        <v>92</v>
      </c>
      <c r="M11" s="2">
        <v>38</v>
      </c>
      <c r="N11" s="2">
        <v>40</v>
      </c>
      <c r="O11" s="2">
        <v>25</v>
      </c>
      <c r="P11" s="2">
        <v>103</v>
      </c>
      <c r="Q11" s="2">
        <v>363</v>
      </c>
      <c r="R11" s="33">
        <v>86</v>
      </c>
      <c r="S11" s="33">
        <v>93</v>
      </c>
      <c r="T11" s="33">
        <v>87</v>
      </c>
      <c r="U11" s="33">
        <v>49</v>
      </c>
      <c r="V11" s="33">
        <v>42</v>
      </c>
      <c r="W11" s="33">
        <v>28</v>
      </c>
      <c r="X11" s="33">
        <v>119</v>
      </c>
      <c r="Y11" s="33">
        <v>385</v>
      </c>
      <c r="Z11" s="33">
        <v>78</v>
      </c>
      <c r="AA11" s="33">
        <v>93</v>
      </c>
      <c r="AB11" s="33">
        <v>83</v>
      </c>
      <c r="AC11" s="33">
        <v>39</v>
      </c>
      <c r="AD11" s="33">
        <v>40</v>
      </c>
      <c r="AE11" s="33">
        <v>34</v>
      </c>
      <c r="AF11" s="33">
        <v>113</v>
      </c>
      <c r="AG11" s="33">
        <v>367</v>
      </c>
    </row>
    <row r="12" spans="1:33" ht="17.5" x14ac:dyDescent="0.25">
      <c r="A12" s="9" t="s">
        <v>49</v>
      </c>
      <c r="B12" s="33"/>
      <c r="C12" s="33"/>
      <c r="D12" s="33"/>
      <c r="E12" s="33"/>
      <c r="F12" s="33"/>
      <c r="G12" s="33"/>
      <c r="H12" s="33"/>
      <c r="I12" s="33"/>
      <c r="J12" s="2"/>
      <c r="K12" s="2"/>
      <c r="L12" s="2"/>
      <c r="M12" s="2"/>
      <c r="N12" s="2"/>
      <c r="O12" s="2"/>
      <c r="P12" s="2"/>
      <c r="Q12" s="2"/>
      <c r="R12" s="33"/>
      <c r="S12" s="33"/>
      <c r="T12" s="33"/>
      <c r="U12" s="33"/>
      <c r="V12" s="33"/>
      <c r="W12" s="33"/>
      <c r="X12" s="33"/>
      <c r="Y12" s="33"/>
      <c r="Z12" s="33">
        <v>86</v>
      </c>
      <c r="AA12" s="33">
        <v>84</v>
      </c>
      <c r="AB12" s="33">
        <v>89</v>
      </c>
      <c r="AC12" s="33">
        <v>24</v>
      </c>
      <c r="AD12" s="33">
        <v>40</v>
      </c>
      <c r="AE12" s="33">
        <v>36</v>
      </c>
      <c r="AF12" s="33">
        <v>100</v>
      </c>
      <c r="AG12" s="33">
        <v>359</v>
      </c>
    </row>
    <row r="13" spans="1:33" ht="17.5" x14ac:dyDescent="0.25">
      <c r="A13" s="9" t="s">
        <v>50</v>
      </c>
      <c r="B13" s="33">
        <v>64</v>
      </c>
      <c r="C13" s="33">
        <v>79</v>
      </c>
      <c r="D13" s="33">
        <v>40</v>
      </c>
      <c r="E13" s="33">
        <v>47</v>
      </c>
      <c r="F13" s="33">
        <v>36</v>
      </c>
      <c r="G13" s="33">
        <v>27</v>
      </c>
      <c r="H13" s="33">
        <v>110</v>
      </c>
      <c r="I13" s="33">
        <v>293</v>
      </c>
      <c r="J13" s="2">
        <v>64</v>
      </c>
      <c r="K13" s="2">
        <v>72</v>
      </c>
      <c r="L13" s="2">
        <v>52</v>
      </c>
      <c r="M13" s="2">
        <v>32</v>
      </c>
      <c r="N13" s="2">
        <v>40</v>
      </c>
      <c r="O13" s="2">
        <v>29</v>
      </c>
      <c r="P13" s="2">
        <v>101</v>
      </c>
      <c r="Q13" s="2">
        <v>289</v>
      </c>
      <c r="R13" s="33">
        <v>66</v>
      </c>
      <c r="S13" s="33">
        <v>67</v>
      </c>
      <c r="T13" s="33">
        <v>74</v>
      </c>
      <c r="U13" s="33">
        <v>43</v>
      </c>
      <c r="V13" s="33">
        <v>40</v>
      </c>
      <c r="W13" s="33">
        <v>24</v>
      </c>
      <c r="X13" s="33">
        <v>107</v>
      </c>
      <c r="Y13" s="33">
        <v>314</v>
      </c>
      <c r="Z13" s="33">
        <v>80</v>
      </c>
      <c r="AA13" s="33">
        <v>77</v>
      </c>
      <c r="AB13" s="33">
        <v>55</v>
      </c>
      <c r="AC13" s="33">
        <v>27</v>
      </c>
      <c r="AD13" s="33">
        <v>39</v>
      </c>
      <c r="AE13" s="33">
        <v>21</v>
      </c>
      <c r="AF13" s="33">
        <v>87</v>
      </c>
      <c r="AG13" s="33">
        <v>299</v>
      </c>
    </row>
    <row r="14" spans="1:33" ht="17.5" x14ac:dyDescent="0.25">
      <c r="A14" s="9" t="s">
        <v>51</v>
      </c>
      <c r="B14" s="33">
        <v>74</v>
      </c>
      <c r="C14" s="33">
        <v>74</v>
      </c>
      <c r="D14" s="33">
        <v>77</v>
      </c>
      <c r="E14" s="33">
        <v>41</v>
      </c>
      <c r="F14" s="33">
        <v>33</v>
      </c>
      <c r="G14" s="33">
        <v>25</v>
      </c>
      <c r="H14" s="33">
        <v>99</v>
      </c>
      <c r="I14" s="33">
        <v>324</v>
      </c>
      <c r="J14" s="2">
        <v>68</v>
      </c>
      <c r="K14" s="2">
        <v>59</v>
      </c>
      <c r="L14" s="2">
        <v>86</v>
      </c>
      <c r="M14" s="2">
        <v>26</v>
      </c>
      <c r="N14" s="2">
        <v>39</v>
      </c>
      <c r="O14" s="2">
        <v>29</v>
      </c>
      <c r="P14" s="2">
        <v>94</v>
      </c>
      <c r="Q14" s="2">
        <v>307</v>
      </c>
      <c r="R14" s="33">
        <v>64</v>
      </c>
      <c r="S14" s="33">
        <v>70</v>
      </c>
      <c r="T14" s="33">
        <v>84</v>
      </c>
      <c r="U14" s="33">
        <v>41</v>
      </c>
      <c r="V14" s="33">
        <v>36</v>
      </c>
      <c r="W14" s="33">
        <v>28</v>
      </c>
      <c r="X14" s="33">
        <v>105</v>
      </c>
      <c r="Y14" s="33">
        <v>323</v>
      </c>
      <c r="Z14" s="33">
        <v>82</v>
      </c>
      <c r="AA14" s="33">
        <v>73</v>
      </c>
      <c r="AB14" s="33">
        <v>77</v>
      </c>
      <c r="AC14" s="33">
        <v>32</v>
      </c>
      <c r="AD14" s="33">
        <v>39</v>
      </c>
      <c r="AE14" s="33">
        <v>7</v>
      </c>
      <c r="AF14" s="33">
        <v>78</v>
      </c>
      <c r="AG14" s="33">
        <v>310</v>
      </c>
    </row>
    <row r="15" spans="1:33" ht="17.5" x14ac:dyDescent="0.25">
      <c r="A15" s="9" t="s">
        <v>52</v>
      </c>
      <c r="B15" s="33"/>
      <c r="C15" s="33"/>
      <c r="D15" s="33"/>
      <c r="E15" s="33"/>
      <c r="F15" s="33"/>
      <c r="G15" s="33"/>
      <c r="H15" s="33"/>
      <c r="I15" s="33"/>
      <c r="J15" s="2"/>
      <c r="K15" s="2"/>
      <c r="L15" s="2"/>
      <c r="M15" s="2"/>
      <c r="N15" s="2"/>
      <c r="O15" s="2"/>
      <c r="P15" s="2"/>
      <c r="Q15" s="2"/>
      <c r="R15" s="33">
        <v>48</v>
      </c>
      <c r="S15" s="33">
        <v>67</v>
      </c>
      <c r="T15" s="33">
        <v>80</v>
      </c>
      <c r="U15" s="33">
        <v>21</v>
      </c>
      <c r="V15" s="33">
        <v>37</v>
      </c>
      <c r="W15" s="33">
        <v>29</v>
      </c>
      <c r="X15" s="33">
        <v>87</v>
      </c>
      <c r="Y15" s="33">
        <v>282</v>
      </c>
      <c r="Z15" s="33"/>
      <c r="AA15" s="33"/>
      <c r="AB15" s="33"/>
      <c r="AC15" s="33"/>
      <c r="AD15" s="33"/>
      <c r="AE15" s="33"/>
      <c r="AF15" s="33"/>
      <c r="AG15" s="33"/>
    </row>
    <row r="16" spans="1:33" ht="17.5" x14ac:dyDescent="0.25">
      <c r="A16" s="9" t="s">
        <v>53</v>
      </c>
      <c r="B16" s="33">
        <v>66</v>
      </c>
      <c r="C16" s="33">
        <v>65</v>
      </c>
      <c r="D16" s="33">
        <v>38</v>
      </c>
      <c r="E16" s="33">
        <v>42</v>
      </c>
      <c r="F16" s="33">
        <v>35</v>
      </c>
      <c r="G16" s="33">
        <v>31</v>
      </c>
      <c r="H16" s="33">
        <v>108</v>
      </c>
      <c r="I16" s="33">
        <v>277</v>
      </c>
      <c r="J16" s="2">
        <v>58</v>
      </c>
      <c r="K16" s="2">
        <v>63</v>
      </c>
      <c r="L16" s="2">
        <v>27</v>
      </c>
      <c r="M16" s="2">
        <v>38</v>
      </c>
      <c r="N16" s="2">
        <v>40</v>
      </c>
      <c r="O16" s="2">
        <v>24</v>
      </c>
      <c r="P16" s="2">
        <v>102</v>
      </c>
      <c r="Q16" s="2">
        <v>250</v>
      </c>
      <c r="R16" s="33">
        <v>70</v>
      </c>
      <c r="S16" s="33">
        <v>65</v>
      </c>
      <c r="T16" s="33">
        <v>42</v>
      </c>
      <c r="U16" s="33">
        <v>41</v>
      </c>
      <c r="V16" s="33">
        <v>34</v>
      </c>
      <c r="W16" s="33">
        <v>23</v>
      </c>
      <c r="X16" s="33">
        <v>98</v>
      </c>
      <c r="Y16" s="33">
        <v>275</v>
      </c>
      <c r="Z16" s="33">
        <v>72</v>
      </c>
      <c r="AA16" s="33">
        <v>52</v>
      </c>
      <c r="AB16" s="33">
        <v>33</v>
      </c>
      <c r="AC16" s="33">
        <v>41</v>
      </c>
      <c r="AD16" s="33">
        <v>32</v>
      </c>
      <c r="AE16" s="33">
        <v>27</v>
      </c>
      <c r="AF16" s="33">
        <v>100</v>
      </c>
      <c r="AG16" s="33">
        <v>257</v>
      </c>
    </row>
    <row r="17" spans="1:33" ht="17.5" x14ac:dyDescent="0.25">
      <c r="A17" s="9" t="s">
        <v>54</v>
      </c>
      <c r="B17" s="33"/>
      <c r="C17" s="33"/>
      <c r="D17" s="33"/>
      <c r="E17" s="33"/>
      <c r="F17" s="33"/>
      <c r="G17" s="33"/>
      <c r="H17" s="33"/>
      <c r="I17" s="33"/>
      <c r="J17" s="2"/>
      <c r="K17" s="2"/>
      <c r="L17" s="2"/>
      <c r="M17" s="2"/>
      <c r="N17" s="2"/>
      <c r="O17" s="2"/>
      <c r="P17" s="2"/>
      <c r="Q17" s="2"/>
      <c r="R17" s="33"/>
      <c r="S17" s="33"/>
      <c r="T17" s="33"/>
      <c r="U17" s="33"/>
      <c r="V17" s="33"/>
      <c r="W17" s="33"/>
      <c r="X17" s="33"/>
      <c r="Y17" s="33"/>
      <c r="Z17" s="33">
        <v>58</v>
      </c>
      <c r="AA17" s="33">
        <v>37</v>
      </c>
      <c r="AB17" s="33">
        <v>76</v>
      </c>
      <c r="AC17" s="33">
        <v>18</v>
      </c>
      <c r="AD17" s="33">
        <v>28</v>
      </c>
      <c r="AE17" s="33">
        <v>19</v>
      </c>
      <c r="AF17" s="33">
        <v>65</v>
      </c>
      <c r="AG17" s="33">
        <v>236</v>
      </c>
    </row>
    <row r="18" spans="1:33" ht="17.5" x14ac:dyDescent="0.25">
      <c r="A18" s="9" t="s">
        <v>55</v>
      </c>
      <c r="B18" s="33">
        <v>80</v>
      </c>
      <c r="C18" s="33">
        <v>97</v>
      </c>
      <c r="D18" s="33">
        <v>64</v>
      </c>
      <c r="E18" s="33">
        <v>54</v>
      </c>
      <c r="F18" s="33">
        <v>40</v>
      </c>
      <c r="G18" s="33">
        <v>34</v>
      </c>
      <c r="H18" s="33">
        <v>128</v>
      </c>
      <c r="I18" s="33">
        <v>369</v>
      </c>
      <c r="J18" s="2">
        <v>74</v>
      </c>
      <c r="K18" s="2">
        <v>92</v>
      </c>
      <c r="L18" s="2">
        <v>55</v>
      </c>
      <c r="M18" s="2">
        <v>48</v>
      </c>
      <c r="N18" s="2">
        <v>34</v>
      </c>
      <c r="O18" s="2">
        <v>39</v>
      </c>
      <c r="P18" s="2">
        <v>121</v>
      </c>
      <c r="Q18" s="2">
        <v>342</v>
      </c>
      <c r="R18" s="33">
        <v>82</v>
      </c>
      <c r="S18" s="33">
        <v>89</v>
      </c>
      <c r="T18" s="33">
        <v>34</v>
      </c>
      <c r="U18" s="33">
        <v>43</v>
      </c>
      <c r="V18" s="33">
        <v>40</v>
      </c>
      <c r="W18" s="33">
        <v>30</v>
      </c>
      <c r="X18" s="33">
        <v>113</v>
      </c>
      <c r="Y18" s="33">
        <v>318</v>
      </c>
      <c r="Z18" s="33">
        <v>80</v>
      </c>
      <c r="AA18" s="33">
        <v>86</v>
      </c>
      <c r="AB18" s="33">
        <v>75</v>
      </c>
      <c r="AC18" s="33">
        <v>41</v>
      </c>
      <c r="AD18" s="33">
        <v>36</v>
      </c>
      <c r="AE18" s="33">
        <v>35</v>
      </c>
      <c r="AF18" s="33">
        <v>112</v>
      </c>
      <c r="AG18" s="33">
        <v>353</v>
      </c>
    </row>
    <row r="19" spans="1:33" ht="17.5" x14ac:dyDescent="0.25">
      <c r="A19" s="9" t="s">
        <v>56</v>
      </c>
      <c r="B19" s="33">
        <v>76</v>
      </c>
      <c r="C19" s="33">
        <v>88</v>
      </c>
      <c r="D19" s="33">
        <v>83</v>
      </c>
      <c r="E19" s="33">
        <v>43</v>
      </c>
      <c r="F19" s="33">
        <v>34</v>
      </c>
      <c r="G19" s="33">
        <v>25</v>
      </c>
      <c r="H19" s="33">
        <v>102</v>
      </c>
      <c r="I19" s="33">
        <v>349</v>
      </c>
      <c r="J19" s="2">
        <v>76</v>
      </c>
      <c r="K19" s="2">
        <v>52</v>
      </c>
      <c r="L19" s="2">
        <v>80</v>
      </c>
      <c r="M19" s="2">
        <v>38</v>
      </c>
      <c r="N19" s="2">
        <v>34</v>
      </c>
      <c r="O19" s="2">
        <v>29</v>
      </c>
      <c r="P19" s="2">
        <v>101</v>
      </c>
      <c r="Q19" s="2">
        <v>309</v>
      </c>
      <c r="R19" s="33">
        <v>84</v>
      </c>
      <c r="S19" s="33">
        <v>55</v>
      </c>
      <c r="T19" s="33">
        <v>82</v>
      </c>
      <c r="U19" s="33">
        <v>40</v>
      </c>
      <c r="V19" s="33">
        <v>36</v>
      </c>
      <c r="W19" s="33">
        <v>29</v>
      </c>
      <c r="X19" s="33">
        <v>105</v>
      </c>
      <c r="Y19" s="33">
        <v>326</v>
      </c>
      <c r="Z19" s="33">
        <v>88</v>
      </c>
      <c r="AA19" s="33">
        <v>65</v>
      </c>
      <c r="AB19" s="33">
        <v>74</v>
      </c>
      <c r="AC19" s="33">
        <v>27</v>
      </c>
      <c r="AD19" s="33">
        <v>38</v>
      </c>
      <c r="AE19" s="33">
        <v>23</v>
      </c>
      <c r="AF19" s="33">
        <v>88</v>
      </c>
      <c r="AG19" s="33">
        <v>315</v>
      </c>
    </row>
    <row r="20" spans="1:33" ht="17.5" x14ac:dyDescent="0.25">
      <c r="A20" s="9" t="s">
        <v>57</v>
      </c>
      <c r="B20" s="33">
        <v>72</v>
      </c>
      <c r="C20" s="33">
        <v>92</v>
      </c>
      <c r="D20" s="33">
        <v>79</v>
      </c>
      <c r="E20" s="33">
        <v>51</v>
      </c>
      <c r="F20" s="33">
        <v>38</v>
      </c>
      <c r="G20" s="33">
        <v>33</v>
      </c>
      <c r="H20" s="33">
        <v>122</v>
      </c>
      <c r="I20" s="33">
        <v>365</v>
      </c>
      <c r="J20" s="2">
        <v>72</v>
      </c>
      <c r="K20" s="2">
        <v>88</v>
      </c>
      <c r="L20" s="2">
        <v>76</v>
      </c>
      <c r="M20" s="2">
        <v>51</v>
      </c>
      <c r="N20" s="2">
        <v>36</v>
      </c>
      <c r="O20" s="2">
        <v>40</v>
      </c>
      <c r="P20" s="2">
        <v>127</v>
      </c>
      <c r="Q20" s="2">
        <v>363</v>
      </c>
      <c r="R20" s="33">
        <v>84</v>
      </c>
      <c r="S20" s="33">
        <v>90</v>
      </c>
      <c r="T20" s="33">
        <v>79</v>
      </c>
      <c r="U20" s="33">
        <v>44</v>
      </c>
      <c r="V20" s="33">
        <v>38</v>
      </c>
      <c r="W20" s="33">
        <v>34</v>
      </c>
      <c r="X20" s="33">
        <v>116</v>
      </c>
      <c r="Y20" s="33">
        <v>369</v>
      </c>
      <c r="Z20" s="33">
        <v>78</v>
      </c>
      <c r="AA20" s="33">
        <v>96</v>
      </c>
      <c r="AB20" s="33">
        <v>81</v>
      </c>
      <c r="AC20" s="33">
        <v>47</v>
      </c>
      <c r="AD20" s="33">
        <v>36</v>
      </c>
      <c r="AE20" s="33">
        <v>29</v>
      </c>
      <c r="AF20" s="33">
        <v>112</v>
      </c>
      <c r="AG20" s="33">
        <v>367</v>
      </c>
    </row>
    <row r="21" spans="1:33" ht="17.5" x14ac:dyDescent="0.25">
      <c r="A21" s="9" t="s">
        <v>58</v>
      </c>
      <c r="B21" s="33">
        <v>78</v>
      </c>
      <c r="C21" s="33">
        <v>86</v>
      </c>
      <c r="D21" s="33">
        <v>83</v>
      </c>
      <c r="E21" s="33">
        <v>49</v>
      </c>
      <c r="F21" s="33">
        <v>36</v>
      </c>
      <c r="G21" s="33">
        <v>30</v>
      </c>
      <c r="H21" s="33">
        <v>115</v>
      </c>
      <c r="I21" s="33">
        <v>362</v>
      </c>
      <c r="J21" s="2">
        <v>78</v>
      </c>
      <c r="K21" s="2">
        <v>80</v>
      </c>
      <c r="L21" s="2">
        <v>77</v>
      </c>
      <c r="M21" s="2">
        <v>33</v>
      </c>
      <c r="N21" s="2">
        <v>38</v>
      </c>
      <c r="O21" s="2">
        <v>32</v>
      </c>
      <c r="P21" s="2">
        <v>103</v>
      </c>
      <c r="Q21" s="2">
        <v>338</v>
      </c>
      <c r="R21" s="33">
        <v>86</v>
      </c>
      <c r="S21" s="33">
        <v>82</v>
      </c>
      <c r="T21" s="33">
        <v>73</v>
      </c>
      <c r="U21" s="33">
        <v>52</v>
      </c>
      <c r="V21" s="33">
        <v>40</v>
      </c>
      <c r="W21" s="33">
        <v>27</v>
      </c>
      <c r="X21" s="33">
        <v>119</v>
      </c>
      <c r="Y21" s="33">
        <v>360</v>
      </c>
      <c r="Z21" s="33">
        <v>88</v>
      </c>
      <c r="AA21" s="33">
        <v>83</v>
      </c>
      <c r="AB21" s="33">
        <v>83</v>
      </c>
      <c r="AC21" s="33">
        <v>27</v>
      </c>
      <c r="AD21" s="33">
        <v>33</v>
      </c>
      <c r="AE21" s="33">
        <v>29</v>
      </c>
      <c r="AF21" s="33">
        <v>89</v>
      </c>
      <c r="AG21" s="33">
        <v>343</v>
      </c>
    </row>
    <row r="22" spans="1:33" ht="17.5" x14ac:dyDescent="0.25">
      <c r="A22" s="9" t="s">
        <v>59</v>
      </c>
      <c r="B22" s="33">
        <v>58</v>
      </c>
      <c r="C22" s="33">
        <v>75</v>
      </c>
      <c r="D22" s="33">
        <v>39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2"/>
      <c r="K22" s="2"/>
      <c r="L22" s="2"/>
      <c r="M22" s="2"/>
      <c r="N22" s="2"/>
      <c r="O22" s="2"/>
      <c r="P22" s="2"/>
      <c r="Q22" s="2"/>
      <c r="R22" s="33">
        <v>58</v>
      </c>
      <c r="S22" s="33">
        <v>82</v>
      </c>
      <c r="T22" s="33">
        <v>67</v>
      </c>
      <c r="U22" s="33">
        <v>30</v>
      </c>
      <c r="V22" s="33">
        <v>34</v>
      </c>
      <c r="W22" s="33">
        <v>13</v>
      </c>
      <c r="X22" s="33">
        <v>77</v>
      </c>
      <c r="Y22" s="33">
        <v>284</v>
      </c>
      <c r="Z22" s="33">
        <v>30</v>
      </c>
      <c r="AA22" s="33">
        <v>33</v>
      </c>
      <c r="AB22" s="33">
        <v>28</v>
      </c>
      <c r="AC22" s="33">
        <v>33</v>
      </c>
      <c r="AD22" s="33">
        <v>32</v>
      </c>
      <c r="AE22" s="33">
        <v>10</v>
      </c>
      <c r="AF22" s="33">
        <v>75</v>
      </c>
      <c r="AG22" s="33">
        <v>166</v>
      </c>
    </row>
    <row r="23" spans="1:33" ht="17.5" x14ac:dyDescent="0.25">
      <c r="A23" s="9" t="s">
        <v>60</v>
      </c>
      <c r="B23" s="33">
        <v>70</v>
      </c>
      <c r="C23" s="33">
        <v>94</v>
      </c>
      <c r="D23" s="33">
        <v>83</v>
      </c>
      <c r="E23" s="33">
        <v>41</v>
      </c>
      <c r="F23" s="33">
        <v>36</v>
      </c>
      <c r="G23" s="33">
        <v>18</v>
      </c>
      <c r="H23" s="33">
        <v>95</v>
      </c>
      <c r="I23" s="33">
        <v>342</v>
      </c>
      <c r="J23" s="2">
        <v>70</v>
      </c>
      <c r="K23" s="2">
        <v>93</v>
      </c>
      <c r="L23" s="2">
        <v>80</v>
      </c>
      <c r="M23" s="2">
        <v>38</v>
      </c>
      <c r="N23" s="2">
        <v>35</v>
      </c>
      <c r="O23" s="2">
        <v>25</v>
      </c>
      <c r="P23" s="2">
        <v>98</v>
      </c>
      <c r="Q23" s="2">
        <v>341</v>
      </c>
      <c r="R23" s="33">
        <v>60</v>
      </c>
      <c r="S23" s="33">
        <v>84</v>
      </c>
      <c r="T23" s="33">
        <v>78</v>
      </c>
      <c r="U23" s="33">
        <v>49</v>
      </c>
      <c r="V23" s="33">
        <v>36</v>
      </c>
      <c r="W23" s="33">
        <v>18</v>
      </c>
      <c r="X23" s="33">
        <v>103</v>
      </c>
      <c r="Y23" s="33">
        <v>325</v>
      </c>
      <c r="Z23" s="33">
        <v>76</v>
      </c>
      <c r="AA23" s="33">
        <v>81</v>
      </c>
      <c r="AB23" s="33">
        <v>66</v>
      </c>
      <c r="AC23" s="33">
        <v>18</v>
      </c>
      <c r="AD23" s="33">
        <v>24</v>
      </c>
      <c r="AE23" s="33">
        <v>32</v>
      </c>
      <c r="AF23" s="33">
        <v>74</v>
      </c>
      <c r="AG23" s="33">
        <v>297</v>
      </c>
    </row>
    <row r="24" spans="1:33" ht="17.5" x14ac:dyDescent="0.25">
      <c r="A24" s="10" t="s">
        <v>61</v>
      </c>
      <c r="B24" s="33">
        <v>58</v>
      </c>
      <c r="C24" s="33">
        <v>86</v>
      </c>
      <c r="D24" s="33">
        <v>39</v>
      </c>
      <c r="E24" s="33">
        <v>46</v>
      </c>
      <c r="F24" s="33">
        <v>31</v>
      </c>
      <c r="G24" s="33">
        <v>28</v>
      </c>
      <c r="H24" s="33">
        <v>105</v>
      </c>
      <c r="I24" s="33">
        <v>288</v>
      </c>
      <c r="J24" s="2">
        <v>34</v>
      </c>
      <c r="K24" s="2">
        <v>85</v>
      </c>
      <c r="L24" s="2">
        <v>48</v>
      </c>
      <c r="M24" s="2">
        <v>29</v>
      </c>
      <c r="N24" s="2">
        <v>31</v>
      </c>
      <c r="O24" s="2">
        <v>19</v>
      </c>
      <c r="P24" s="2">
        <v>79</v>
      </c>
      <c r="Q24" s="2">
        <v>246</v>
      </c>
      <c r="R24" s="33">
        <v>56</v>
      </c>
      <c r="S24" s="33">
        <v>85</v>
      </c>
      <c r="T24" s="33">
        <v>59</v>
      </c>
      <c r="U24" s="33">
        <v>21</v>
      </c>
      <c r="V24" s="33">
        <v>29</v>
      </c>
      <c r="W24" s="33">
        <v>14</v>
      </c>
      <c r="X24" s="33">
        <v>64</v>
      </c>
      <c r="Y24" s="33">
        <v>264</v>
      </c>
      <c r="Z24" s="33"/>
      <c r="AA24" s="33"/>
      <c r="AB24" s="33"/>
      <c r="AC24" s="33"/>
      <c r="AD24" s="33"/>
      <c r="AE24" s="33"/>
      <c r="AF24" s="33"/>
      <c r="AG24" s="33"/>
    </row>
    <row r="25" spans="1:33" ht="17.5" x14ac:dyDescent="0.25">
      <c r="A25" s="6" t="s">
        <v>62</v>
      </c>
      <c r="B25" s="33">
        <v>58</v>
      </c>
      <c r="C25" s="33">
        <v>39</v>
      </c>
      <c r="D25" s="33">
        <v>55</v>
      </c>
      <c r="E25" s="33">
        <v>34</v>
      </c>
      <c r="F25" s="33">
        <v>40</v>
      </c>
      <c r="G25" s="33">
        <v>24</v>
      </c>
      <c r="H25" s="33">
        <v>98</v>
      </c>
      <c r="I25" s="33">
        <v>250</v>
      </c>
      <c r="J25" s="2">
        <v>56</v>
      </c>
      <c r="K25" s="2">
        <v>46</v>
      </c>
      <c r="L25" s="2">
        <v>41</v>
      </c>
      <c r="M25" s="2">
        <v>29</v>
      </c>
      <c r="N25" s="2">
        <v>33</v>
      </c>
      <c r="O25" s="2">
        <v>29</v>
      </c>
      <c r="P25" s="2">
        <v>91</v>
      </c>
      <c r="Q25" s="2">
        <v>234</v>
      </c>
      <c r="R25" s="33">
        <v>66</v>
      </c>
      <c r="S25" s="33">
        <v>69</v>
      </c>
      <c r="T25" s="33">
        <v>51</v>
      </c>
      <c r="U25" s="33">
        <v>34</v>
      </c>
      <c r="V25" s="33">
        <v>31</v>
      </c>
      <c r="W25" s="33">
        <v>18</v>
      </c>
      <c r="X25" s="33">
        <v>83</v>
      </c>
      <c r="Y25" s="33">
        <v>269</v>
      </c>
      <c r="Z25" s="33">
        <v>82</v>
      </c>
      <c r="AA25" s="33">
        <v>71</v>
      </c>
      <c r="AB25" s="33">
        <v>65</v>
      </c>
      <c r="AC25" s="33">
        <v>30</v>
      </c>
      <c r="AD25" s="33">
        <v>34</v>
      </c>
      <c r="AE25" s="33">
        <v>32</v>
      </c>
      <c r="AF25" s="33">
        <v>96</v>
      </c>
      <c r="AG25" s="33">
        <v>314</v>
      </c>
    </row>
    <row r="26" spans="1:33" ht="17.5" x14ac:dyDescent="0.25">
      <c r="A26" s="6" t="s">
        <v>63</v>
      </c>
      <c r="B26" s="33">
        <v>54</v>
      </c>
      <c r="C26" s="33">
        <v>76</v>
      </c>
      <c r="D26" s="33">
        <v>32</v>
      </c>
      <c r="E26" s="33">
        <v>51</v>
      </c>
      <c r="F26" s="33">
        <v>33</v>
      </c>
      <c r="G26" s="33">
        <v>22</v>
      </c>
      <c r="H26" s="33">
        <v>106</v>
      </c>
      <c r="I26" s="33">
        <v>268</v>
      </c>
      <c r="J26" s="2">
        <v>46</v>
      </c>
      <c r="K26" s="2">
        <v>77</v>
      </c>
      <c r="L26" s="2">
        <v>37</v>
      </c>
      <c r="M26" s="2">
        <v>30</v>
      </c>
      <c r="N26" s="2">
        <v>34</v>
      </c>
      <c r="O26" s="2">
        <v>31</v>
      </c>
      <c r="P26" s="2">
        <v>95</v>
      </c>
      <c r="Q26" s="2">
        <v>255</v>
      </c>
      <c r="R26" s="33">
        <v>70</v>
      </c>
      <c r="S26" s="33">
        <v>77</v>
      </c>
      <c r="T26" s="33">
        <v>31</v>
      </c>
      <c r="U26" s="33">
        <v>46</v>
      </c>
      <c r="V26" s="33">
        <v>35</v>
      </c>
      <c r="W26" s="33">
        <v>24</v>
      </c>
      <c r="X26" s="33">
        <v>105</v>
      </c>
      <c r="Y26" s="33">
        <v>283</v>
      </c>
      <c r="Z26" s="33"/>
      <c r="AA26" s="33"/>
      <c r="AB26" s="33"/>
      <c r="AC26" s="33"/>
      <c r="AD26" s="33"/>
      <c r="AE26" s="33"/>
      <c r="AF26" s="33"/>
      <c r="AG26" s="33"/>
    </row>
  </sheetData>
  <sheetProtection formatCells="0" formatColumns="0" formatRows="0" insertColumns="0" insertRows="0" insertHyperlinks="0" deleteColumns="0" deleteRows="0" sort="0" autoFilter="0" pivotTables="0"/>
  <mergeCells count="4">
    <mergeCell ref="Z1:AG1"/>
    <mergeCell ref="B1:I1"/>
    <mergeCell ref="J1:Q1"/>
    <mergeCell ref="R1:Y1"/>
  </mergeCells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32"/>
  <sheetViews>
    <sheetView zoomScale="55" zoomScaleNormal="55" workbookViewId="0">
      <selection activeCell="AB2" activeCellId="3" sqref="D2 L2 T2 AB2"/>
    </sheetView>
  </sheetViews>
  <sheetFormatPr defaultColWidth="9.6328125" defaultRowHeight="14" x14ac:dyDescent="0.25"/>
  <cols>
    <col min="1" max="1" width="16.6328125" customWidth="1"/>
    <col min="4" max="4" width="9.81640625" bestFit="1" customWidth="1"/>
    <col min="10" max="10" width="12.6328125"/>
    <col min="12" max="13" width="12.6328125"/>
    <col min="15" max="17" width="12.6328125"/>
    <col min="24" max="24" width="11.7265625"/>
    <col min="25" max="25" width="13.08984375"/>
  </cols>
  <sheetData>
    <row r="1" spans="1:33" ht="17.5" x14ac:dyDescent="0.25">
      <c r="A1" s="4"/>
      <c r="B1" s="92" t="s">
        <v>0</v>
      </c>
      <c r="C1" s="92"/>
      <c r="D1" s="92"/>
      <c r="E1" s="92"/>
      <c r="F1" s="92"/>
      <c r="G1" s="92"/>
      <c r="H1" s="92"/>
      <c r="I1" s="92"/>
      <c r="J1" s="92" t="s">
        <v>1</v>
      </c>
      <c r="K1" s="92"/>
      <c r="L1" s="92"/>
      <c r="M1" s="92"/>
      <c r="N1" s="92"/>
      <c r="O1" s="92"/>
      <c r="P1" s="92"/>
      <c r="Q1" s="92"/>
      <c r="R1" s="92" t="s">
        <v>2</v>
      </c>
      <c r="S1" s="92"/>
      <c r="T1" s="92"/>
      <c r="U1" s="92"/>
      <c r="V1" s="92"/>
      <c r="W1" s="92"/>
      <c r="X1" s="92"/>
      <c r="Y1" s="92"/>
      <c r="Z1" s="92" t="s">
        <v>38</v>
      </c>
      <c r="AA1" s="92"/>
      <c r="AB1" s="92"/>
      <c r="AC1" s="92"/>
      <c r="AD1" s="92"/>
      <c r="AE1" s="92"/>
      <c r="AF1" s="92"/>
      <c r="AG1" s="92"/>
    </row>
    <row r="2" spans="1:33" ht="17.5" x14ac:dyDescent="0.25">
      <c r="A2" s="19" t="s">
        <v>5</v>
      </c>
      <c r="B2" s="44" t="s">
        <v>3</v>
      </c>
      <c r="C2" s="44" t="s">
        <v>4</v>
      </c>
      <c r="D2" s="61" t="s">
        <v>528</v>
      </c>
      <c r="E2" s="44" t="s">
        <v>6</v>
      </c>
      <c r="F2" s="44" t="s">
        <v>39</v>
      </c>
      <c r="G2" s="44" t="s">
        <v>7</v>
      </c>
      <c r="H2" s="43" t="s">
        <v>8</v>
      </c>
      <c r="I2" s="43" t="s">
        <v>9</v>
      </c>
      <c r="J2" s="44" t="s">
        <v>3</v>
      </c>
      <c r="K2" s="44" t="s">
        <v>4</v>
      </c>
      <c r="L2" s="61" t="s">
        <v>528</v>
      </c>
      <c r="M2" s="44" t="s">
        <v>6</v>
      </c>
      <c r="N2" s="44" t="s">
        <v>39</v>
      </c>
      <c r="O2" s="44" t="s">
        <v>7</v>
      </c>
      <c r="P2" s="43" t="s">
        <v>8</v>
      </c>
      <c r="Q2" s="43" t="s">
        <v>9</v>
      </c>
      <c r="R2" s="44" t="s">
        <v>3</v>
      </c>
      <c r="S2" s="44" t="s">
        <v>4</v>
      </c>
      <c r="T2" s="61" t="s">
        <v>528</v>
      </c>
      <c r="U2" s="44" t="s">
        <v>6</v>
      </c>
      <c r="V2" s="44" t="s">
        <v>39</v>
      </c>
      <c r="W2" s="44" t="s">
        <v>7</v>
      </c>
      <c r="X2" s="43" t="s">
        <v>8</v>
      </c>
      <c r="Y2" s="43" t="s">
        <v>9</v>
      </c>
      <c r="Z2" s="44" t="s">
        <v>3</v>
      </c>
      <c r="AA2" s="44" t="s">
        <v>4</v>
      </c>
      <c r="AB2" s="61" t="s">
        <v>528</v>
      </c>
      <c r="AC2" s="44" t="s">
        <v>6</v>
      </c>
      <c r="AD2" s="44" t="s">
        <v>39</v>
      </c>
      <c r="AE2" s="44" t="s">
        <v>7</v>
      </c>
      <c r="AF2" s="43" t="s">
        <v>8</v>
      </c>
      <c r="AG2" s="43" t="s">
        <v>9</v>
      </c>
    </row>
    <row r="3" spans="1:33" ht="17.5" x14ac:dyDescent="0.25">
      <c r="A3" s="19" t="s">
        <v>64</v>
      </c>
      <c r="B3" s="31">
        <v>72</v>
      </c>
      <c r="C3" s="31">
        <v>82</v>
      </c>
      <c r="D3" s="31">
        <v>79</v>
      </c>
      <c r="E3" s="31">
        <v>51</v>
      </c>
      <c r="F3" s="31">
        <v>23</v>
      </c>
      <c r="G3" s="31">
        <v>40</v>
      </c>
      <c r="H3" s="31">
        <f t="shared" ref="H3:H13" si="0">SUM(E3:G3)</f>
        <v>114</v>
      </c>
      <c r="I3" s="31">
        <f t="shared" ref="I3:I13" si="1">SUM(B3:D3,H3)</f>
        <v>347</v>
      </c>
      <c r="J3" s="31">
        <v>70</v>
      </c>
      <c r="K3" s="31">
        <v>87</v>
      </c>
      <c r="L3" s="31">
        <v>86</v>
      </c>
      <c r="M3" s="31">
        <v>32</v>
      </c>
      <c r="N3" s="31">
        <v>34</v>
      </c>
      <c r="O3" s="31">
        <v>32</v>
      </c>
      <c r="P3" s="31">
        <f>SUM(M3:O3)</f>
        <v>98</v>
      </c>
      <c r="Q3" s="31">
        <f>SUM(J3:O3)</f>
        <v>341</v>
      </c>
      <c r="R3" s="31">
        <v>76</v>
      </c>
      <c r="S3" s="31">
        <v>81</v>
      </c>
      <c r="T3" s="31">
        <v>78</v>
      </c>
      <c r="U3" s="31">
        <v>30</v>
      </c>
      <c r="V3" s="31">
        <v>25</v>
      </c>
      <c r="W3" s="31">
        <v>37</v>
      </c>
      <c r="X3" s="31">
        <f t="shared" ref="X3:X10" si="2">SUM(U3:W3)</f>
        <v>92</v>
      </c>
      <c r="Y3" s="31">
        <f t="shared" ref="Y3:Y10" si="3">SUM(R3:W3)</f>
        <v>327</v>
      </c>
      <c r="Z3" s="31">
        <v>76</v>
      </c>
      <c r="AA3" s="31">
        <v>90</v>
      </c>
      <c r="AB3" s="31">
        <v>73</v>
      </c>
      <c r="AC3" s="31">
        <v>30</v>
      </c>
      <c r="AD3" s="31">
        <v>37</v>
      </c>
      <c r="AE3" s="31">
        <v>31</v>
      </c>
      <c r="AF3" s="31">
        <f>SUM(AC3:AE3)</f>
        <v>98</v>
      </c>
      <c r="AG3" s="31">
        <f>SUM(Z3:AE3)</f>
        <v>337</v>
      </c>
    </row>
    <row r="4" spans="1:33" ht="17.5" x14ac:dyDescent="0.25">
      <c r="A4" s="19" t="s">
        <v>65</v>
      </c>
      <c r="B4" s="31">
        <v>58</v>
      </c>
      <c r="C4" s="31">
        <v>64</v>
      </c>
      <c r="D4" s="31">
        <v>69</v>
      </c>
      <c r="E4" s="31">
        <v>45</v>
      </c>
      <c r="F4" s="31">
        <v>24</v>
      </c>
      <c r="G4" s="31">
        <v>32</v>
      </c>
      <c r="H4" s="31">
        <f t="shared" si="0"/>
        <v>101</v>
      </c>
      <c r="I4" s="31">
        <f t="shared" si="1"/>
        <v>292</v>
      </c>
      <c r="J4" s="31">
        <v>56</v>
      </c>
      <c r="K4" s="31">
        <v>85</v>
      </c>
      <c r="L4" s="31">
        <v>76</v>
      </c>
      <c r="M4" s="31">
        <v>27</v>
      </c>
      <c r="N4" s="31">
        <v>26</v>
      </c>
      <c r="O4" s="31">
        <v>36</v>
      </c>
      <c r="P4" s="31">
        <v>89</v>
      </c>
      <c r="Q4" s="31">
        <f>SUM(J4:O4)</f>
        <v>306</v>
      </c>
      <c r="R4" s="31">
        <v>60</v>
      </c>
      <c r="S4" s="31">
        <v>73</v>
      </c>
      <c r="T4" s="31">
        <v>75</v>
      </c>
      <c r="U4" s="31">
        <v>32</v>
      </c>
      <c r="V4" s="31">
        <v>14</v>
      </c>
      <c r="W4" s="31">
        <v>40</v>
      </c>
      <c r="X4" s="31">
        <f t="shared" si="2"/>
        <v>86</v>
      </c>
      <c r="Y4" s="31">
        <f t="shared" si="3"/>
        <v>294</v>
      </c>
      <c r="Z4" s="31">
        <v>60</v>
      </c>
      <c r="AA4" s="31">
        <v>81</v>
      </c>
      <c r="AB4" s="31">
        <v>67</v>
      </c>
      <c r="AC4" s="31">
        <v>33</v>
      </c>
      <c r="AD4" s="31">
        <v>20</v>
      </c>
      <c r="AE4" s="31">
        <v>34</v>
      </c>
      <c r="AF4" s="31">
        <f t="shared" ref="AF4:AF32" si="4">SUM(AC4:AE4)</f>
        <v>87</v>
      </c>
      <c r="AG4" s="31">
        <f t="shared" ref="AG4:AG32" si="5">SUM(Z4:AE4)</f>
        <v>295</v>
      </c>
    </row>
    <row r="5" spans="1:33" ht="17.5" x14ac:dyDescent="0.25">
      <c r="A5" s="19" t="s">
        <v>66</v>
      </c>
      <c r="B5" s="31">
        <v>64</v>
      </c>
      <c r="C5" s="31">
        <v>59</v>
      </c>
      <c r="D5" s="31">
        <v>45</v>
      </c>
      <c r="E5" s="31">
        <v>36</v>
      </c>
      <c r="F5" s="31">
        <v>24</v>
      </c>
      <c r="G5" s="31">
        <v>34</v>
      </c>
      <c r="H5" s="31">
        <f t="shared" si="0"/>
        <v>94</v>
      </c>
      <c r="I5" s="31">
        <f t="shared" si="1"/>
        <v>262</v>
      </c>
      <c r="J5" s="31">
        <v>65</v>
      </c>
      <c r="K5" s="31">
        <v>68</v>
      </c>
      <c r="L5" s="31">
        <v>54</v>
      </c>
      <c r="M5" s="31">
        <v>15</v>
      </c>
      <c r="N5" s="31">
        <v>26</v>
      </c>
      <c r="O5" s="31">
        <v>36</v>
      </c>
      <c r="P5" s="31">
        <v>77</v>
      </c>
      <c r="Q5" s="31">
        <f>SUM(J5:O5)</f>
        <v>264</v>
      </c>
      <c r="R5" s="31">
        <v>70</v>
      </c>
      <c r="S5" s="31">
        <v>65</v>
      </c>
      <c r="T5" s="31">
        <v>51</v>
      </c>
      <c r="U5" s="31">
        <v>35</v>
      </c>
      <c r="V5" s="31">
        <v>19</v>
      </c>
      <c r="W5" s="31">
        <v>40</v>
      </c>
      <c r="X5" s="31">
        <f t="shared" si="2"/>
        <v>94</v>
      </c>
      <c r="Y5" s="31">
        <f t="shared" si="3"/>
        <v>280</v>
      </c>
      <c r="Z5" s="31">
        <v>58</v>
      </c>
      <c r="AA5" s="31">
        <v>79</v>
      </c>
      <c r="AB5" s="31">
        <v>61</v>
      </c>
      <c r="AC5" s="31">
        <v>21</v>
      </c>
      <c r="AD5" s="31">
        <v>12</v>
      </c>
      <c r="AE5" s="31">
        <v>36</v>
      </c>
      <c r="AF5" s="31">
        <f t="shared" si="4"/>
        <v>69</v>
      </c>
      <c r="AG5" s="31">
        <f t="shared" si="5"/>
        <v>267</v>
      </c>
    </row>
    <row r="6" spans="1:33" ht="17.5" x14ac:dyDescent="0.25">
      <c r="A6" s="19" t="s">
        <v>67</v>
      </c>
      <c r="B6" s="31">
        <v>48</v>
      </c>
      <c r="C6" s="31">
        <v>65</v>
      </c>
      <c r="D6" s="31">
        <v>80</v>
      </c>
      <c r="E6" s="31">
        <v>32</v>
      </c>
      <c r="F6" s="31">
        <v>28</v>
      </c>
      <c r="G6" s="31">
        <v>20</v>
      </c>
      <c r="H6" s="31">
        <f t="shared" si="0"/>
        <v>80</v>
      </c>
      <c r="I6" s="31">
        <f t="shared" si="1"/>
        <v>273</v>
      </c>
      <c r="J6" s="6"/>
      <c r="K6" s="6"/>
      <c r="L6" s="6"/>
      <c r="M6" s="6"/>
      <c r="N6" s="6"/>
      <c r="O6" s="6"/>
      <c r="P6" s="6"/>
      <c r="Q6" s="6"/>
      <c r="R6" s="6">
        <v>62</v>
      </c>
      <c r="S6" s="6">
        <v>67</v>
      </c>
      <c r="T6" s="6">
        <v>68</v>
      </c>
      <c r="U6" s="6">
        <v>30</v>
      </c>
      <c r="V6" s="6">
        <v>28</v>
      </c>
      <c r="W6" s="6">
        <v>26</v>
      </c>
      <c r="X6" s="31">
        <f t="shared" si="2"/>
        <v>84</v>
      </c>
      <c r="Y6" s="31">
        <f t="shared" si="3"/>
        <v>281</v>
      </c>
      <c r="Z6" s="6">
        <v>64</v>
      </c>
      <c r="AA6" s="6">
        <v>72</v>
      </c>
      <c r="AB6" s="6">
        <v>58</v>
      </c>
      <c r="AC6" s="6">
        <v>30</v>
      </c>
      <c r="AD6" s="6">
        <v>15</v>
      </c>
      <c r="AE6" s="6">
        <v>17</v>
      </c>
      <c r="AF6" s="31">
        <f t="shared" si="4"/>
        <v>62</v>
      </c>
      <c r="AG6" s="31">
        <f t="shared" si="5"/>
        <v>256</v>
      </c>
    </row>
    <row r="7" spans="1:33" ht="17.5" x14ac:dyDescent="0.25">
      <c r="A7" s="19" t="s">
        <v>68</v>
      </c>
      <c r="B7" s="31">
        <v>64</v>
      </c>
      <c r="C7" s="6">
        <v>80</v>
      </c>
      <c r="D7" s="31">
        <v>74</v>
      </c>
      <c r="E7" s="31">
        <v>45</v>
      </c>
      <c r="F7" s="31">
        <v>37</v>
      </c>
      <c r="G7" s="31">
        <v>29</v>
      </c>
      <c r="H7" s="31">
        <f t="shared" si="0"/>
        <v>111</v>
      </c>
      <c r="I7" s="31">
        <f t="shared" si="1"/>
        <v>329</v>
      </c>
      <c r="J7" s="31">
        <v>48</v>
      </c>
      <c r="K7" s="6">
        <v>75</v>
      </c>
      <c r="L7" s="31">
        <v>68</v>
      </c>
      <c r="M7" s="31">
        <v>27</v>
      </c>
      <c r="N7" s="31">
        <v>28</v>
      </c>
      <c r="O7" s="31">
        <v>29</v>
      </c>
      <c r="P7" s="31">
        <v>84</v>
      </c>
      <c r="Q7" s="31">
        <f>SUM(J7:O7)</f>
        <v>275</v>
      </c>
      <c r="R7" s="31">
        <v>54</v>
      </c>
      <c r="S7" s="6">
        <v>0</v>
      </c>
      <c r="T7" s="31">
        <v>78</v>
      </c>
      <c r="U7" s="31">
        <v>35</v>
      </c>
      <c r="V7" s="31">
        <v>19</v>
      </c>
      <c r="W7" s="31">
        <v>36</v>
      </c>
      <c r="X7" s="31">
        <f t="shared" si="2"/>
        <v>90</v>
      </c>
      <c r="Y7" s="31">
        <f t="shared" si="3"/>
        <v>222</v>
      </c>
      <c r="Z7" s="31">
        <v>58</v>
      </c>
      <c r="AA7" s="6">
        <v>86</v>
      </c>
      <c r="AB7" s="31">
        <v>72</v>
      </c>
      <c r="AC7" s="31">
        <v>24</v>
      </c>
      <c r="AD7" s="31">
        <v>26</v>
      </c>
      <c r="AE7" s="31">
        <v>37</v>
      </c>
      <c r="AF7" s="31">
        <f t="shared" si="4"/>
        <v>87</v>
      </c>
      <c r="AG7" s="31">
        <f t="shared" si="5"/>
        <v>303</v>
      </c>
    </row>
    <row r="8" spans="1:33" ht="17.5" x14ac:dyDescent="0.25">
      <c r="A8" s="19" t="s">
        <v>69</v>
      </c>
      <c r="B8" s="31">
        <v>76</v>
      </c>
      <c r="C8" s="31">
        <v>91</v>
      </c>
      <c r="D8" s="31">
        <v>87</v>
      </c>
      <c r="E8" s="31">
        <v>60</v>
      </c>
      <c r="F8" s="31">
        <v>33</v>
      </c>
      <c r="G8" s="31">
        <v>35</v>
      </c>
      <c r="H8" s="31">
        <f t="shared" si="0"/>
        <v>128</v>
      </c>
      <c r="I8" s="31">
        <f t="shared" si="1"/>
        <v>382</v>
      </c>
      <c r="J8" s="6"/>
      <c r="K8" s="6"/>
      <c r="L8" s="6"/>
      <c r="M8" s="6"/>
      <c r="N8" s="6"/>
      <c r="O8" s="6"/>
      <c r="P8" s="6"/>
      <c r="Q8" s="6"/>
      <c r="R8" s="6">
        <v>80</v>
      </c>
      <c r="S8" s="6">
        <v>91</v>
      </c>
      <c r="T8" s="6">
        <v>90</v>
      </c>
      <c r="U8" s="6">
        <v>44</v>
      </c>
      <c r="V8" s="6">
        <v>37</v>
      </c>
      <c r="W8" s="6">
        <v>42</v>
      </c>
      <c r="X8" s="31">
        <f t="shared" si="2"/>
        <v>123</v>
      </c>
      <c r="Y8" s="31">
        <f t="shared" si="3"/>
        <v>384</v>
      </c>
      <c r="Z8" s="6">
        <v>88</v>
      </c>
      <c r="AA8" s="6">
        <v>95</v>
      </c>
      <c r="AB8" s="6">
        <v>82</v>
      </c>
      <c r="AC8" s="6">
        <v>52</v>
      </c>
      <c r="AD8" s="6">
        <v>34</v>
      </c>
      <c r="AE8" s="6">
        <v>38</v>
      </c>
      <c r="AF8" s="31">
        <f t="shared" si="4"/>
        <v>124</v>
      </c>
      <c r="AG8" s="31">
        <f t="shared" si="5"/>
        <v>389</v>
      </c>
    </row>
    <row r="9" spans="1:33" ht="17.5" x14ac:dyDescent="0.25">
      <c r="A9" s="19" t="s">
        <v>70</v>
      </c>
      <c r="B9" s="31">
        <v>60</v>
      </c>
      <c r="C9" s="31">
        <v>82</v>
      </c>
      <c r="D9" s="31">
        <v>57</v>
      </c>
      <c r="E9" s="31">
        <v>54</v>
      </c>
      <c r="F9" s="31">
        <v>37</v>
      </c>
      <c r="G9" s="31">
        <v>41</v>
      </c>
      <c r="H9" s="31">
        <f t="shared" si="0"/>
        <v>132</v>
      </c>
      <c r="I9" s="31">
        <f t="shared" si="1"/>
        <v>331</v>
      </c>
      <c r="J9" s="31">
        <v>64</v>
      </c>
      <c r="K9" s="31">
        <v>87</v>
      </c>
      <c r="L9" s="31">
        <v>32</v>
      </c>
      <c r="M9" s="31">
        <v>32</v>
      </c>
      <c r="N9" s="31">
        <v>22</v>
      </c>
      <c r="O9" s="31">
        <v>41</v>
      </c>
      <c r="P9" s="31">
        <v>95</v>
      </c>
      <c r="Q9" s="31">
        <f>SUM(J9:O9)</f>
        <v>278</v>
      </c>
      <c r="R9" s="31">
        <v>80</v>
      </c>
      <c r="S9" s="31">
        <v>77</v>
      </c>
      <c r="T9" s="31">
        <v>49</v>
      </c>
      <c r="U9" s="31">
        <v>36</v>
      </c>
      <c r="V9" s="31">
        <v>20</v>
      </c>
      <c r="W9" s="31">
        <v>43</v>
      </c>
      <c r="X9" s="31">
        <f t="shared" si="2"/>
        <v>99</v>
      </c>
      <c r="Y9" s="31">
        <f t="shared" si="3"/>
        <v>305</v>
      </c>
      <c r="Z9" s="31">
        <v>76</v>
      </c>
      <c r="AA9" s="31">
        <v>81</v>
      </c>
      <c r="AB9" s="31">
        <v>57</v>
      </c>
      <c r="AC9" s="31">
        <v>26</v>
      </c>
      <c r="AD9" s="31">
        <v>9</v>
      </c>
      <c r="AE9" s="31">
        <v>42</v>
      </c>
      <c r="AF9" s="31">
        <f t="shared" si="4"/>
        <v>77</v>
      </c>
      <c r="AG9" s="31">
        <f t="shared" si="5"/>
        <v>291</v>
      </c>
    </row>
    <row r="10" spans="1:33" ht="17.5" x14ac:dyDescent="0.25">
      <c r="A10" s="19" t="s">
        <v>71</v>
      </c>
      <c r="B10" s="31">
        <v>60</v>
      </c>
      <c r="C10" s="31">
        <v>74</v>
      </c>
      <c r="D10" s="31">
        <v>27</v>
      </c>
      <c r="E10" s="31">
        <v>54</v>
      </c>
      <c r="F10" s="31">
        <v>35</v>
      </c>
      <c r="G10" s="31">
        <v>34</v>
      </c>
      <c r="H10" s="31">
        <f t="shared" si="0"/>
        <v>123</v>
      </c>
      <c r="I10" s="31">
        <f t="shared" si="1"/>
        <v>284</v>
      </c>
      <c r="J10" s="31">
        <v>72</v>
      </c>
      <c r="K10" s="31">
        <v>29</v>
      </c>
      <c r="L10" s="31">
        <v>58</v>
      </c>
      <c r="M10" s="31">
        <v>27</v>
      </c>
      <c r="N10" s="31">
        <v>20</v>
      </c>
      <c r="O10" s="31">
        <v>33</v>
      </c>
      <c r="P10" s="31">
        <v>80</v>
      </c>
      <c r="Q10" s="31">
        <f>SUM(J10:O10)</f>
        <v>239</v>
      </c>
      <c r="R10" s="31">
        <v>68</v>
      </c>
      <c r="S10" s="31">
        <v>61</v>
      </c>
      <c r="T10" s="31">
        <v>49</v>
      </c>
      <c r="U10" s="31">
        <v>39</v>
      </c>
      <c r="V10" s="31">
        <v>20</v>
      </c>
      <c r="W10" s="31">
        <v>29</v>
      </c>
      <c r="X10" s="31">
        <f t="shared" si="2"/>
        <v>88</v>
      </c>
      <c r="Y10" s="31">
        <f t="shared" si="3"/>
        <v>266</v>
      </c>
      <c r="Z10" s="31">
        <v>80</v>
      </c>
      <c r="AA10" s="31">
        <v>75</v>
      </c>
      <c r="AB10" s="31">
        <v>73</v>
      </c>
      <c r="AC10" s="31">
        <v>54</v>
      </c>
      <c r="AD10" s="31">
        <v>12</v>
      </c>
      <c r="AE10" s="31">
        <v>36</v>
      </c>
      <c r="AF10" s="31">
        <f t="shared" si="4"/>
        <v>102</v>
      </c>
      <c r="AG10" s="31">
        <f t="shared" si="5"/>
        <v>330</v>
      </c>
    </row>
    <row r="11" spans="1:33" ht="17.5" x14ac:dyDescent="0.25">
      <c r="A11" s="19" t="s">
        <v>72</v>
      </c>
      <c r="B11" s="31">
        <v>80</v>
      </c>
      <c r="C11" s="31">
        <v>87</v>
      </c>
      <c r="D11" s="31">
        <v>81</v>
      </c>
      <c r="E11" s="31">
        <v>54</v>
      </c>
      <c r="F11" s="31">
        <v>24</v>
      </c>
      <c r="G11" s="31">
        <v>32</v>
      </c>
      <c r="H11" s="31">
        <f t="shared" si="0"/>
        <v>110</v>
      </c>
      <c r="I11" s="31">
        <f t="shared" si="1"/>
        <v>358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7.5" x14ac:dyDescent="0.25">
      <c r="A12" s="19" t="s">
        <v>73</v>
      </c>
      <c r="B12" s="31">
        <v>84</v>
      </c>
      <c r="C12" s="31">
        <v>93</v>
      </c>
      <c r="D12" s="31">
        <v>66</v>
      </c>
      <c r="E12" s="31">
        <v>60</v>
      </c>
      <c r="F12" s="31">
        <v>27</v>
      </c>
      <c r="G12" s="31">
        <v>38</v>
      </c>
      <c r="H12" s="31">
        <f t="shared" si="0"/>
        <v>125</v>
      </c>
      <c r="I12" s="31">
        <f t="shared" si="1"/>
        <v>368</v>
      </c>
      <c r="J12" s="31">
        <v>80</v>
      </c>
      <c r="K12" s="31">
        <v>90</v>
      </c>
      <c r="L12" s="31">
        <v>73</v>
      </c>
      <c r="M12" s="31">
        <v>33</v>
      </c>
      <c r="N12" s="31">
        <v>37</v>
      </c>
      <c r="O12" s="31">
        <v>41</v>
      </c>
      <c r="P12" s="31">
        <v>111</v>
      </c>
      <c r="Q12" s="31">
        <f>SUM(J12:O12)</f>
        <v>354</v>
      </c>
      <c r="R12" s="31">
        <v>84</v>
      </c>
      <c r="S12" s="31">
        <v>74</v>
      </c>
      <c r="T12" s="31">
        <v>66</v>
      </c>
      <c r="U12" s="31">
        <v>49</v>
      </c>
      <c r="V12" s="31">
        <v>36</v>
      </c>
      <c r="W12" s="31">
        <v>35</v>
      </c>
      <c r="X12" s="31">
        <f>SUM(U12:W12)</f>
        <v>120</v>
      </c>
      <c r="Y12" s="31">
        <f>SUM(R12:W12)</f>
        <v>344</v>
      </c>
      <c r="Z12" s="31">
        <v>84</v>
      </c>
      <c r="AA12" s="31">
        <v>99</v>
      </c>
      <c r="AB12" s="31">
        <v>67</v>
      </c>
      <c r="AC12" s="31">
        <v>30</v>
      </c>
      <c r="AD12" s="31">
        <v>32</v>
      </c>
      <c r="AE12" s="31">
        <v>42</v>
      </c>
      <c r="AF12" s="31">
        <f t="shared" si="4"/>
        <v>104</v>
      </c>
      <c r="AG12" s="31">
        <f t="shared" si="5"/>
        <v>354</v>
      </c>
    </row>
    <row r="13" spans="1:33" ht="17.5" x14ac:dyDescent="0.25">
      <c r="A13" s="19" t="s">
        <v>74</v>
      </c>
      <c r="B13" s="31">
        <v>86</v>
      </c>
      <c r="C13" s="31">
        <v>97</v>
      </c>
      <c r="D13" s="31">
        <v>56</v>
      </c>
      <c r="E13" s="31">
        <v>54</v>
      </c>
      <c r="F13" s="31">
        <v>37</v>
      </c>
      <c r="G13" s="31">
        <v>39</v>
      </c>
      <c r="H13" s="31">
        <f t="shared" si="0"/>
        <v>130</v>
      </c>
      <c r="I13" s="31">
        <f t="shared" si="1"/>
        <v>369</v>
      </c>
      <c r="J13" s="31">
        <v>72</v>
      </c>
      <c r="K13" s="31">
        <v>93</v>
      </c>
      <c r="L13" s="31">
        <v>57</v>
      </c>
      <c r="M13" s="31">
        <v>35</v>
      </c>
      <c r="N13" s="31">
        <v>34</v>
      </c>
      <c r="O13" s="31">
        <v>41</v>
      </c>
      <c r="P13" s="31">
        <v>110</v>
      </c>
      <c r="Q13" s="31">
        <f>SUM(J13:O13)</f>
        <v>332</v>
      </c>
      <c r="R13" s="31">
        <v>90</v>
      </c>
      <c r="S13" s="31">
        <v>96</v>
      </c>
      <c r="T13" s="31">
        <v>54</v>
      </c>
      <c r="U13" s="31">
        <v>49</v>
      </c>
      <c r="V13" s="31">
        <v>31</v>
      </c>
      <c r="W13" s="31">
        <v>44</v>
      </c>
      <c r="X13" s="31">
        <f>SUM(U13:W13)</f>
        <v>124</v>
      </c>
      <c r="Y13" s="31">
        <f>SUM(R13:W13)</f>
        <v>364</v>
      </c>
      <c r="Z13" s="31">
        <v>88</v>
      </c>
      <c r="AA13" s="31">
        <v>95</v>
      </c>
      <c r="AB13" s="31">
        <v>59</v>
      </c>
      <c r="AC13" s="31">
        <v>41</v>
      </c>
      <c r="AD13" s="31">
        <v>23</v>
      </c>
      <c r="AE13" s="31">
        <v>39</v>
      </c>
      <c r="AF13" s="31">
        <f t="shared" si="4"/>
        <v>103</v>
      </c>
      <c r="AG13" s="31">
        <f t="shared" si="5"/>
        <v>345</v>
      </c>
    </row>
    <row r="14" spans="1:33" ht="17.5" x14ac:dyDescent="0.25">
      <c r="A14" s="19" t="s">
        <v>75</v>
      </c>
      <c r="B14" s="19"/>
      <c r="C14" s="19"/>
      <c r="D14" s="19"/>
      <c r="E14" s="19"/>
      <c r="F14" s="19"/>
      <c r="G14" s="19"/>
      <c r="H14" s="6"/>
      <c r="I14" s="6"/>
      <c r="J14" s="19"/>
      <c r="K14" s="19"/>
      <c r="L14" s="19"/>
      <c r="M14" s="19"/>
      <c r="N14" s="19"/>
      <c r="O14" s="19"/>
      <c r="P14" s="19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ht="17.5" x14ac:dyDescent="0.25">
      <c r="A15" s="19" t="s">
        <v>76</v>
      </c>
      <c r="B15" s="31">
        <v>72</v>
      </c>
      <c r="C15" s="31">
        <v>86</v>
      </c>
      <c r="D15" s="31">
        <v>18</v>
      </c>
      <c r="E15" s="31">
        <v>54</v>
      </c>
      <c r="F15" s="31">
        <v>32</v>
      </c>
      <c r="G15" s="31">
        <v>35</v>
      </c>
      <c r="H15" s="31">
        <f t="shared" ref="H15:H31" si="6">SUM(E15:G15)</f>
        <v>121</v>
      </c>
      <c r="I15" s="31">
        <f t="shared" ref="I15:I31" si="7">SUM(B15:D15,H15)</f>
        <v>297</v>
      </c>
      <c r="J15" s="31">
        <v>66</v>
      </c>
      <c r="K15" s="31">
        <v>79</v>
      </c>
      <c r="L15" s="31">
        <v>16</v>
      </c>
      <c r="M15" s="31">
        <v>43</v>
      </c>
      <c r="N15" s="31">
        <v>38</v>
      </c>
      <c r="O15" s="31">
        <v>35</v>
      </c>
      <c r="P15" s="31">
        <v>116</v>
      </c>
      <c r="Q15" s="31">
        <f t="shared" ref="Q15:Q32" si="8">SUM(J15:O15)</f>
        <v>277</v>
      </c>
      <c r="R15" s="31">
        <v>64</v>
      </c>
      <c r="S15" s="31">
        <v>86</v>
      </c>
      <c r="T15" s="31">
        <v>54</v>
      </c>
      <c r="U15" s="31">
        <v>35</v>
      </c>
      <c r="V15" s="31">
        <v>29</v>
      </c>
      <c r="W15" s="31">
        <v>36</v>
      </c>
      <c r="X15" s="31">
        <f t="shared" ref="X15:X32" si="9">SUM(U15:W15)</f>
        <v>100</v>
      </c>
      <c r="Y15" s="31">
        <f t="shared" ref="Y15:Y32" si="10">SUM(R15:W15)</f>
        <v>304</v>
      </c>
      <c r="Z15" s="31">
        <v>76</v>
      </c>
      <c r="AA15" s="31">
        <v>97</v>
      </c>
      <c r="AB15" s="31">
        <v>49</v>
      </c>
      <c r="AC15" s="31">
        <v>33</v>
      </c>
      <c r="AD15" s="31">
        <v>34</v>
      </c>
      <c r="AE15" s="31">
        <v>39</v>
      </c>
      <c r="AF15" s="31">
        <f t="shared" si="4"/>
        <v>106</v>
      </c>
      <c r="AG15" s="31">
        <f t="shared" si="5"/>
        <v>328</v>
      </c>
    </row>
    <row r="16" spans="1:33" ht="17.5" x14ac:dyDescent="0.25">
      <c r="A16" s="30" t="s">
        <v>77</v>
      </c>
      <c r="B16" s="19"/>
      <c r="C16" s="19"/>
      <c r="D16" s="19"/>
      <c r="E16" s="19"/>
      <c r="F16" s="19"/>
      <c r="G16" s="19"/>
      <c r="H16" s="6"/>
      <c r="I16" s="6"/>
      <c r="J16" s="19"/>
      <c r="K16" s="19"/>
      <c r="L16" s="19"/>
      <c r="M16" s="19"/>
      <c r="N16" s="19"/>
      <c r="O16" s="19"/>
      <c r="P16" s="19"/>
      <c r="Q16" s="6"/>
      <c r="R16" s="19">
        <v>70</v>
      </c>
      <c r="S16" s="19">
        <v>76</v>
      </c>
      <c r="T16" s="19">
        <v>67</v>
      </c>
      <c r="U16" s="19">
        <v>27</v>
      </c>
      <c r="V16" s="19">
        <v>24</v>
      </c>
      <c r="W16" s="19">
        <v>43</v>
      </c>
      <c r="X16" s="31">
        <f t="shared" si="9"/>
        <v>94</v>
      </c>
      <c r="Y16" s="31">
        <f t="shared" si="10"/>
        <v>307</v>
      </c>
      <c r="Z16" s="6"/>
      <c r="AA16" s="6"/>
      <c r="AB16" s="6"/>
      <c r="AC16" s="6"/>
      <c r="AD16" s="6"/>
      <c r="AE16" s="6"/>
      <c r="AF16" s="6"/>
      <c r="AG16" s="6"/>
    </row>
    <row r="17" spans="1:33" ht="17.5" x14ac:dyDescent="0.25">
      <c r="A17" s="30" t="s">
        <v>78</v>
      </c>
      <c r="B17" s="19"/>
      <c r="C17" s="19"/>
      <c r="D17" s="19"/>
      <c r="E17" s="19"/>
      <c r="F17" s="19"/>
      <c r="G17" s="19"/>
      <c r="H17" s="6"/>
      <c r="I17" s="6"/>
      <c r="J17" s="19">
        <v>60</v>
      </c>
      <c r="K17" s="19">
        <v>59</v>
      </c>
      <c r="L17" s="19">
        <v>73</v>
      </c>
      <c r="M17" s="19">
        <v>24</v>
      </c>
      <c r="N17" s="19">
        <v>14</v>
      </c>
      <c r="O17" s="19">
        <v>28</v>
      </c>
      <c r="P17" s="31">
        <v>66</v>
      </c>
      <c r="Q17" s="31">
        <f t="shared" si="8"/>
        <v>258</v>
      </c>
      <c r="R17" s="19">
        <v>56</v>
      </c>
      <c r="S17" s="19">
        <v>37</v>
      </c>
      <c r="T17" s="19">
        <v>68</v>
      </c>
      <c r="U17" s="19">
        <v>21</v>
      </c>
      <c r="V17" s="19">
        <v>23</v>
      </c>
      <c r="W17" s="19">
        <v>35</v>
      </c>
      <c r="X17" s="31">
        <f t="shared" si="9"/>
        <v>79</v>
      </c>
      <c r="Y17" s="31">
        <f t="shared" si="10"/>
        <v>240</v>
      </c>
      <c r="Z17" s="19">
        <v>56</v>
      </c>
      <c r="AA17" s="19">
        <v>67</v>
      </c>
      <c r="AB17" s="19">
        <v>73</v>
      </c>
      <c r="AC17" s="19">
        <v>27</v>
      </c>
      <c r="AD17" s="19">
        <v>10</v>
      </c>
      <c r="AE17" s="19">
        <v>33</v>
      </c>
      <c r="AF17" s="31">
        <f t="shared" si="4"/>
        <v>70</v>
      </c>
      <c r="AG17" s="31">
        <f t="shared" si="5"/>
        <v>266</v>
      </c>
    </row>
    <row r="18" spans="1:33" ht="17.5" x14ac:dyDescent="0.25">
      <c r="A18" s="30" t="s">
        <v>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>
        <v>64</v>
      </c>
      <c r="S18" s="6">
        <v>36</v>
      </c>
      <c r="T18" s="6">
        <v>60</v>
      </c>
      <c r="U18" s="6">
        <v>30</v>
      </c>
      <c r="V18" s="6">
        <v>12</v>
      </c>
      <c r="W18" s="6">
        <v>38</v>
      </c>
      <c r="X18" s="31">
        <f t="shared" si="9"/>
        <v>80</v>
      </c>
      <c r="Y18" s="31">
        <f t="shared" si="10"/>
        <v>240</v>
      </c>
      <c r="Z18" s="6"/>
      <c r="AA18" s="6"/>
      <c r="AB18" s="6"/>
      <c r="AC18" s="6"/>
      <c r="AD18" s="6"/>
      <c r="AE18" s="6"/>
      <c r="AF18" s="6"/>
      <c r="AG18" s="6"/>
    </row>
    <row r="19" spans="1:33" ht="17.5" x14ac:dyDescent="0.25">
      <c r="A19" s="30" t="s">
        <v>80</v>
      </c>
      <c r="B19" s="31">
        <v>88</v>
      </c>
      <c r="C19" s="31">
        <v>93</v>
      </c>
      <c r="D19" s="31">
        <v>86</v>
      </c>
      <c r="E19" s="31">
        <v>57</v>
      </c>
      <c r="F19" s="31">
        <v>28</v>
      </c>
      <c r="G19" s="31">
        <v>37</v>
      </c>
      <c r="H19" s="31">
        <f t="shared" si="6"/>
        <v>122</v>
      </c>
      <c r="I19" s="31">
        <f t="shared" si="7"/>
        <v>389</v>
      </c>
      <c r="J19" s="31">
        <v>90</v>
      </c>
      <c r="K19" s="31">
        <v>91</v>
      </c>
      <c r="L19" s="31">
        <v>76</v>
      </c>
      <c r="M19" s="31">
        <v>32</v>
      </c>
      <c r="N19" s="31">
        <v>28</v>
      </c>
      <c r="O19" s="31">
        <v>42</v>
      </c>
      <c r="P19" s="31">
        <v>102</v>
      </c>
      <c r="Q19" s="31">
        <f t="shared" si="8"/>
        <v>359</v>
      </c>
      <c r="R19" s="31">
        <v>86</v>
      </c>
      <c r="S19" s="31">
        <v>92</v>
      </c>
      <c r="T19" s="31">
        <v>75</v>
      </c>
      <c r="U19" s="31">
        <v>46</v>
      </c>
      <c r="V19" s="31">
        <v>28</v>
      </c>
      <c r="W19" s="31">
        <v>42</v>
      </c>
      <c r="X19" s="31">
        <f t="shared" si="9"/>
        <v>116</v>
      </c>
      <c r="Y19" s="31">
        <f t="shared" si="10"/>
        <v>369</v>
      </c>
      <c r="Z19" s="6"/>
      <c r="AA19" s="6"/>
      <c r="AB19" s="6"/>
      <c r="AC19" s="6"/>
      <c r="AD19" s="6"/>
      <c r="AE19" s="6"/>
      <c r="AF19" s="6"/>
      <c r="AG19" s="6"/>
    </row>
    <row r="20" spans="1:33" ht="17.5" x14ac:dyDescent="0.25">
      <c r="A20" s="30" t="s">
        <v>81</v>
      </c>
      <c r="B20" s="6"/>
      <c r="C20" s="6"/>
      <c r="D20" s="6"/>
      <c r="E20" s="6"/>
      <c r="F20" s="6"/>
      <c r="G20" s="6"/>
      <c r="H20" s="6"/>
      <c r="I20" s="6"/>
      <c r="J20" s="6">
        <v>88</v>
      </c>
      <c r="K20" s="6">
        <v>97</v>
      </c>
      <c r="L20" s="6">
        <v>75</v>
      </c>
      <c r="M20" s="6">
        <v>46</v>
      </c>
      <c r="N20" s="6">
        <v>33</v>
      </c>
      <c r="O20" s="6">
        <v>38</v>
      </c>
      <c r="P20" s="31">
        <v>117</v>
      </c>
      <c r="Q20" s="31">
        <f t="shared" si="8"/>
        <v>377</v>
      </c>
      <c r="R20" s="6"/>
      <c r="S20" s="6"/>
      <c r="T20" s="6"/>
      <c r="U20" s="6"/>
      <c r="V20" s="6"/>
      <c r="W20" s="6"/>
      <c r="X20" s="6"/>
      <c r="Y20" s="6"/>
      <c r="Z20" s="6">
        <v>94</v>
      </c>
      <c r="AA20" s="6">
        <v>90</v>
      </c>
      <c r="AB20" s="6">
        <v>83</v>
      </c>
      <c r="AC20" s="6">
        <v>44</v>
      </c>
      <c r="AD20" s="6">
        <v>26</v>
      </c>
      <c r="AE20" s="6">
        <v>37</v>
      </c>
      <c r="AF20" s="31">
        <f t="shared" si="4"/>
        <v>107</v>
      </c>
      <c r="AG20" s="31">
        <f t="shared" si="5"/>
        <v>374</v>
      </c>
    </row>
    <row r="21" spans="1:33" ht="17.5" x14ac:dyDescent="0.25">
      <c r="A21" s="30" t="s">
        <v>82</v>
      </c>
      <c r="B21" s="31">
        <v>78</v>
      </c>
      <c r="C21" s="31">
        <v>100</v>
      </c>
      <c r="D21" s="31">
        <v>60</v>
      </c>
      <c r="E21" s="31">
        <v>54</v>
      </c>
      <c r="F21" s="31">
        <v>29</v>
      </c>
      <c r="G21" s="31">
        <v>34</v>
      </c>
      <c r="H21" s="31">
        <f t="shared" si="6"/>
        <v>117</v>
      </c>
      <c r="I21" s="31">
        <f t="shared" si="7"/>
        <v>355</v>
      </c>
      <c r="J21" s="31">
        <v>62</v>
      </c>
      <c r="K21" s="31">
        <v>97</v>
      </c>
      <c r="L21" s="31">
        <v>53</v>
      </c>
      <c r="M21" s="31">
        <v>43</v>
      </c>
      <c r="N21" s="31">
        <v>31</v>
      </c>
      <c r="O21" s="31">
        <v>41</v>
      </c>
      <c r="P21" s="31">
        <v>115</v>
      </c>
      <c r="Q21" s="31">
        <f t="shared" si="8"/>
        <v>327</v>
      </c>
      <c r="R21" s="31">
        <v>90</v>
      </c>
      <c r="S21" s="31">
        <v>96</v>
      </c>
      <c r="T21" s="31">
        <v>78</v>
      </c>
      <c r="U21" s="31">
        <v>42</v>
      </c>
      <c r="V21" s="31">
        <v>32</v>
      </c>
      <c r="W21" s="31">
        <v>44</v>
      </c>
      <c r="X21" s="31">
        <f t="shared" si="9"/>
        <v>118</v>
      </c>
      <c r="Y21" s="31">
        <f t="shared" si="10"/>
        <v>382</v>
      </c>
      <c r="Z21" s="31">
        <v>96</v>
      </c>
      <c r="AA21" s="31">
        <v>97</v>
      </c>
      <c r="AB21" s="31">
        <v>80</v>
      </c>
      <c r="AC21" s="31">
        <v>54</v>
      </c>
      <c r="AD21" s="31">
        <v>27</v>
      </c>
      <c r="AE21" s="31">
        <v>41</v>
      </c>
      <c r="AF21" s="31">
        <f t="shared" si="4"/>
        <v>122</v>
      </c>
      <c r="AG21" s="31">
        <f t="shared" si="5"/>
        <v>395</v>
      </c>
    </row>
    <row r="22" spans="1:33" ht="17.5" x14ac:dyDescent="0.25">
      <c r="A22" s="30" t="s">
        <v>83</v>
      </c>
      <c r="B22" s="31">
        <v>72</v>
      </c>
      <c r="C22" s="31">
        <v>78</v>
      </c>
      <c r="D22" s="31">
        <v>47</v>
      </c>
      <c r="E22" s="31">
        <v>34</v>
      </c>
      <c r="F22" s="31">
        <v>23</v>
      </c>
      <c r="G22" s="31">
        <v>29</v>
      </c>
      <c r="H22" s="31">
        <f t="shared" si="6"/>
        <v>86</v>
      </c>
      <c r="I22" s="31">
        <f t="shared" si="7"/>
        <v>283</v>
      </c>
      <c r="J22" s="6"/>
      <c r="K22" s="6"/>
      <c r="L22" s="6"/>
      <c r="M22" s="6"/>
      <c r="N22" s="6"/>
      <c r="O22" s="6"/>
      <c r="P22" s="6"/>
      <c r="Q22" s="6"/>
      <c r="R22" s="6">
        <v>64</v>
      </c>
      <c r="S22" s="6">
        <v>61</v>
      </c>
      <c r="T22" s="6">
        <v>46</v>
      </c>
      <c r="U22" s="6">
        <v>35</v>
      </c>
      <c r="V22" s="6">
        <v>21</v>
      </c>
      <c r="W22" s="6">
        <v>38</v>
      </c>
      <c r="X22" s="31">
        <f t="shared" si="9"/>
        <v>94</v>
      </c>
      <c r="Y22" s="31">
        <f t="shared" si="10"/>
        <v>265</v>
      </c>
      <c r="Z22" s="6">
        <v>60</v>
      </c>
      <c r="AA22" s="6">
        <v>78</v>
      </c>
      <c r="AB22" s="6">
        <v>68</v>
      </c>
      <c r="AC22" s="6">
        <v>26</v>
      </c>
      <c r="AD22" s="6">
        <v>14</v>
      </c>
      <c r="AE22" s="6">
        <v>31</v>
      </c>
      <c r="AF22" s="31">
        <f t="shared" si="4"/>
        <v>71</v>
      </c>
      <c r="AG22" s="31">
        <f t="shared" si="5"/>
        <v>277</v>
      </c>
    </row>
    <row r="23" spans="1:33" ht="17.5" x14ac:dyDescent="0.25">
      <c r="A23" s="30" t="s">
        <v>84</v>
      </c>
      <c r="B23" s="31">
        <v>58</v>
      </c>
      <c r="C23" s="31">
        <v>100</v>
      </c>
      <c r="D23" s="31">
        <v>47</v>
      </c>
      <c r="E23" s="31">
        <v>57</v>
      </c>
      <c r="F23" s="31">
        <v>31</v>
      </c>
      <c r="G23" s="31">
        <v>30</v>
      </c>
      <c r="H23" s="31">
        <f t="shared" si="6"/>
        <v>118</v>
      </c>
      <c r="I23" s="31">
        <f t="shared" si="7"/>
        <v>323</v>
      </c>
      <c r="J23" s="31">
        <v>78</v>
      </c>
      <c r="K23" s="31">
        <v>100</v>
      </c>
      <c r="L23" s="31">
        <v>49</v>
      </c>
      <c r="M23" s="31">
        <v>40</v>
      </c>
      <c r="N23" s="31">
        <v>34</v>
      </c>
      <c r="O23" s="31">
        <v>36</v>
      </c>
      <c r="P23" s="31">
        <v>110</v>
      </c>
      <c r="Q23" s="31">
        <f t="shared" si="8"/>
        <v>337</v>
      </c>
      <c r="R23" s="6"/>
      <c r="S23" s="6"/>
      <c r="T23" s="6"/>
      <c r="U23" s="6"/>
      <c r="V23" s="6"/>
      <c r="W23" s="6"/>
      <c r="X23" s="6"/>
      <c r="Y23" s="6"/>
      <c r="Z23" s="6">
        <v>76</v>
      </c>
      <c r="AA23" s="6">
        <v>93</v>
      </c>
      <c r="AB23" s="6">
        <v>73</v>
      </c>
      <c r="AC23" s="6">
        <v>44</v>
      </c>
      <c r="AD23" s="6">
        <v>44</v>
      </c>
      <c r="AE23" s="6">
        <v>37</v>
      </c>
      <c r="AF23" s="31">
        <f t="shared" si="4"/>
        <v>125</v>
      </c>
      <c r="AG23" s="31">
        <f t="shared" si="5"/>
        <v>367</v>
      </c>
    </row>
    <row r="24" spans="1:33" ht="17.5" x14ac:dyDescent="0.25">
      <c r="A24" s="30" t="s">
        <v>85</v>
      </c>
      <c r="B24" s="31">
        <v>60</v>
      </c>
      <c r="C24" s="31">
        <v>100</v>
      </c>
      <c r="D24" s="31">
        <v>43</v>
      </c>
      <c r="E24" s="31">
        <v>37</v>
      </c>
      <c r="F24" s="31">
        <v>19</v>
      </c>
      <c r="G24" s="31">
        <v>30</v>
      </c>
      <c r="H24" s="31">
        <f t="shared" si="6"/>
        <v>86</v>
      </c>
      <c r="I24" s="31">
        <f t="shared" si="7"/>
        <v>289</v>
      </c>
      <c r="J24" s="31">
        <v>66</v>
      </c>
      <c r="K24" s="31">
        <v>99</v>
      </c>
      <c r="L24" s="31">
        <v>51</v>
      </c>
      <c r="M24" s="31">
        <v>15</v>
      </c>
      <c r="N24" s="31">
        <v>17</v>
      </c>
      <c r="O24" s="31">
        <v>32</v>
      </c>
      <c r="P24" s="31">
        <v>64</v>
      </c>
      <c r="Q24" s="31">
        <f t="shared" si="8"/>
        <v>280</v>
      </c>
      <c r="R24" s="31">
        <v>62</v>
      </c>
      <c r="S24" s="31">
        <v>44</v>
      </c>
      <c r="T24" s="31">
        <v>58</v>
      </c>
      <c r="U24" s="31">
        <v>30</v>
      </c>
      <c r="V24" s="31">
        <v>19</v>
      </c>
      <c r="W24" s="31">
        <v>35</v>
      </c>
      <c r="X24" s="31">
        <f t="shared" si="9"/>
        <v>84</v>
      </c>
      <c r="Y24" s="31">
        <f t="shared" si="10"/>
        <v>248</v>
      </c>
      <c r="Z24" s="31">
        <v>88</v>
      </c>
      <c r="AA24" s="31">
        <v>76</v>
      </c>
      <c r="AB24" s="31">
        <v>76</v>
      </c>
      <c r="AC24" s="31">
        <v>54</v>
      </c>
      <c r="AD24" s="31">
        <v>19</v>
      </c>
      <c r="AE24" s="31">
        <v>38</v>
      </c>
      <c r="AF24" s="31">
        <f t="shared" si="4"/>
        <v>111</v>
      </c>
      <c r="AG24" s="31">
        <f t="shared" si="5"/>
        <v>351</v>
      </c>
    </row>
    <row r="25" spans="1:33" ht="17.5" x14ac:dyDescent="0.25">
      <c r="A25" s="30" t="s">
        <v>86</v>
      </c>
      <c r="B25" s="6"/>
      <c r="C25" s="6"/>
      <c r="D25" s="6"/>
      <c r="E25" s="6"/>
      <c r="F25" s="6"/>
      <c r="G25" s="6"/>
      <c r="H25" s="6"/>
      <c r="I25" s="6"/>
      <c r="J25" s="6">
        <v>74</v>
      </c>
      <c r="K25" s="6">
        <v>90</v>
      </c>
      <c r="L25" s="6">
        <v>69</v>
      </c>
      <c r="M25" s="6">
        <v>43</v>
      </c>
      <c r="N25" s="6">
        <v>31</v>
      </c>
      <c r="O25" s="6">
        <v>38</v>
      </c>
      <c r="P25" s="6">
        <v>113</v>
      </c>
      <c r="Q25" s="31">
        <f t="shared" si="8"/>
        <v>345</v>
      </c>
      <c r="R25" s="6">
        <v>84</v>
      </c>
      <c r="S25" s="6">
        <v>83</v>
      </c>
      <c r="T25" s="6">
        <v>80</v>
      </c>
      <c r="U25" s="6">
        <v>43</v>
      </c>
      <c r="V25" s="6">
        <v>30</v>
      </c>
      <c r="W25" s="6">
        <v>41</v>
      </c>
      <c r="X25" s="31">
        <f t="shared" si="9"/>
        <v>114</v>
      </c>
      <c r="Y25" s="31">
        <f t="shared" si="10"/>
        <v>361</v>
      </c>
      <c r="Z25" s="6">
        <v>82</v>
      </c>
      <c r="AA25" s="6">
        <v>84</v>
      </c>
      <c r="AB25" s="6">
        <v>74</v>
      </c>
      <c r="AC25" s="6">
        <v>30</v>
      </c>
      <c r="AD25" s="6">
        <v>31</v>
      </c>
      <c r="AE25" s="6">
        <v>36</v>
      </c>
      <c r="AF25" s="31">
        <f t="shared" si="4"/>
        <v>97</v>
      </c>
      <c r="AG25" s="31">
        <f t="shared" si="5"/>
        <v>337</v>
      </c>
    </row>
    <row r="26" spans="1:33" ht="17.5" x14ac:dyDescent="0.25">
      <c r="A26" s="30" t="s">
        <v>87</v>
      </c>
      <c r="B26" s="31">
        <v>86</v>
      </c>
      <c r="C26" s="31">
        <v>100</v>
      </c>
      <c r="D26" s="31">
        <v>76</v>
      </c>
      <c r="E26" s="31">
        <v>52</v>
      </c>
      <c r="F26" s="31">
        <v>26</v>
      </c>
      <c r="G26" s="31">
        <v>43</v>
      </c>
      <c r="H26" s="31">
        <f t="shared" si="6"/>
        <v>121</v>
      </c>
      <c r="I26" s="31">
        <f t="shared" si="7"/>
        <v>383</v>
      </c>
      <c r="J26" s="31">
        <v>76</v>
      </c>
      <c r="K26" s="31">
        <v>100</v>
      </c>
      <c r="L26" s="31">
        <v>72</v>
      </c>
      <c r="M26" s="31">
        <v>48</v>
      </c>
      <c r="N26" s="31">
        <v>32</v>
      </c>
      <c r="O26" s="31">
        <v>39</v>
      </c>
      <c r="P26" s="31">
        <v>119</v>
      </c>
      <c r="Q26" s="31">
        <f t="shared" si="8"/>
        <v>367</v>
      </c>
      <c r="R26" s="6"/>
      <c r="S26" s="6"/>
      <c r="T26" s="6"/>
      <c r="U26" s="6"/>
      <c r="V26" s="6"/>
      <c r="W26" s="6"/>
      <c r="X26" s="6"/>
      <c r="Y26" s="6"/>
      <c r="Z26" s="6">
        <v>86</v>
      </c>
      <c r="AA26" s="6">
        <v>99</v>
      </c>
      <c r="AB26" s="6">
        <v>76</v>
      </c>
      <c r="AC26" s="6">
        <v>41</v>
      </c>
      <c r="AD26" s="6">
        <v>38</v>
      </c>
      <c r="AE26" s="6">
        <v>42</v>
      </c>
      <c r="AF26" s="31">
        <f t="shared" si="4"/>
        <v>121</v>
      </c>
      <c r="AG26" s="31">
        <f t="shared" si="5"/>
        <v>382</v>
      </c>
    </row>
    <row r="27" spans="1:33" ht="17.5" x14ac:dyDescent="0.25">
      <c r="A27" s="30" t="s">
        <v>88</v>
      </c>
      <c r="B27" s="31">
        <v>70</v>
      </c>
      <c r="C27" s="31">
        <v>97</v>
      </c>
      <c r="D27" s="31">
        <v>58</v>
      </c>
      <c r="E27" s="31">
        <v>49</v>
      </c>
      <c r="F27" s="31">
        <v>29</v>
      </c>
      <c r="G27" s="31">
        <v>37</v>
      </c>
      <c r="H27" s="31">
        <f t="shared" si="6"/>
        <v>115</v>
      </c>
      <c r="I27" s="31">
        <f t="shared" si="7"/>
        <v>340</v>
      </c>
      <c r="J27" s="31">
        <v>52</v>
      </c>
      <c r="K27" s="31">
        <v>91</v>
      </c>
      <c r="L27" s="31">
        <v>60</v>
      </c>
      <c r="M27" s="31">
        <v>48</v>
      </c>
      <c r="N27" s="31">
        <v>32</v>
      </c>
      <c r="O27" s="31">
        <v>37</v>
      </c>
      <c r="P27" s="31">
        <v>117</v>
      </c>
      <c r="Q27" s="31">
        <f t="shared" si="8"/>
        <v>320</v>
      </c>
      <c r="R27" s="31">
        <v>58</v>
      </c>
      <c r="S27" s="31">
        <v>90</v>
      </c>
      <c r="T27" s="31">
        <v>64</v>
      </c>
      <c r="U27" s="31">
        <v>42</v>
      </c>
      <c r="V27" s="31">
        <v>29</v>
      </c>
      <c r="W27" s="31">
        <v>42</v>
      </c>
      <c r="X27" s="31">
        <f t="shared" si="9"/>
        <v>113</v>
      </c>
      <c r="Y27" s="31">
        <f t="shared" si="10"/>
        <v>325</v>
      </c>
      <c r="Z27" s="31">
        <v>76</v>
      </c>
      <c r="AA27" s="31">
        <v>94</v>
      </c>
      <c r="AB27" s="31">
        <v>79</v>
      </c>
      <c r="AC27" s="31">
        <v>54</v>
      </c>
      <c r="AD27" s="31">
        <v>28</v>
      </c>
      <c r="AE27" s="31">
        <v>41</v>
      </c>
      <c r="AF27" s="31">
        <f t="shared" si="4"/>
        <v>123</v>
      </c>
      <c r="AG27" s="31">
        <f t="shared" si="5"/>
        <v>372</v>
      </c>
    </row>
    <row r="28" spans="1:33" ht="17.5" x14ac:dyDescent="0.25">
      <c r="A28" s="19" t="s">
        <v>89</v>
      </c>
      <c r="B28" s="31">
        <v>72</v>
      </c>
      <c r="C28" s="31">
        <v>69</v>
      </c>
      <c r="D28" s="31">
        <v>42</v>
      </c>
      <c r="E28" s="31">
        <v>51</v>
      </c>
      <c r="F28" s="31">
        <v>31</v>
      </c>
      <c r="G28" s="31">
        <v>25</v>
      </c>
      <c r="H28" s="31">
        <f t="shared" si="6"/>
        <v>107</v>
      </c>
      <c r="I28" s="31">
        <f t="shared" si="7"/>
        <v>290</v>
      </c>
      <c r="J28" s="31">
        <v>62</v>
      </c>
      <c r="K28" s="31">
        <v>98</v>
      </c>
      <c r="L28" s="31">
        <v>36</v>
      </c>
      <c r="M28" s="31">
        <v>29</v>
      </c>
      <c r="N28" s="31">
        <v>23</v>
      </c>
      <c r="O28" s="31">
        <v>35</v>
      </c>
      <c r="P28" s="31">
        <v>87</v>
      </c>
      <c r="Q28" s="31">
        <f t="shared" si="8"/>
        <v>283</v>
      </c>
      <c r="R28" s="31">
        <v>78</v>
      </c>
      <c r="S28" s="31">
        <v>56</v>
      </c>
      <c r="T28" s="31">
        <v>62</v>
      </c>
      <c r="U28" s="31">
        <v>33</v>
      </c>
      <c r="V28" s="31">
        <v>19</v>
      </c>
      <c r="W28" s="31">
        <v>33</v>
      </c>
      <c r="X28" s="31">
        <f t="shared" si="9"/>
        <v>85</v>
      </c>
      <c r="Y28" s="31">
        <f t="shared" si="10"/>
        <v>281</v>
      </c>
      <c r="Z28" s="31">
        <v>74</v>
      </c>
      <c r="AA28" s="31">
        <v>82</v>
      </c>
      <c r="AB28" s="31">
        <v>68</v>
      </c>
      <c r="AC28" s="31">
        <v>38</v>
      </c>
      <c r="AD28" s="31">
        <v>17</v>
      </c>
      <c r="AE28" s="31">
        <v>29</v>
      </c>
      <c r="AF28" s="31">
        <f t="shared" si="4"/>
        <v>84</v>
      </c>
      <c r="AG28" s="31">
        <f t="shared" si="5"/>
        <v>308</v>
      </c>
    </row>
    <row r="29" spans="1:33" ht="17.5" x14ac:dyDescent="0.25">
      <c r="A29" s="19" t="s">
        <v>90</v>
      </c>
      <c r="B29" s="31">
        <v>58</v>
      </c>
      <c r="C29" s="31">
        <v>59</v>
      </c>
      <c r="D29" s="31">
        <v>52</v>
      </c>
      <c r="E29" s="31">
        <v>40</v>
      </c>
      <c r="F29" s="31">
        <v>25</v>
      </c>
      <c r="G29" s="31">
        <v>34</v>
      </c>
      <c r="H29" s="31">
        <f t="shared" si="6"/>
        <v>99</v>
      </c>
      <c r="I29" s="31">
        <f t="shared" si="7"/>
        <v>268</v>
      </c>
      <c r="J29" s="6"/>
      <c r="K29" s="6"/>
      <c r="L29" s="6"/>
      <c r="M29" s="6"/>
      <c r="N29" s="6"/>
      <c r="O29" s="6"/>
      <c r="P29" s="6"/>
      <c r="Q29" s="6"/>
      <c r="R29" s="6">
        <v>48</v>
      </c>
      <c r="S29" s="6">
        <v>68</v>
      </c>
      <c r="T29" s="6">
        <v>58</v>
      </c>
      <c r="U29" s="6">
        <v>29</v>
      </c>
      <c r="V29" s="6">
        <v>19</v>
      </c>
      <c r="W29" s="6">
        <v>23</v>
      </c>
      <c r="X29" s="31">
        <f t="shared" si="9"/>
        <v>71</v>
      </c>
      <c r="Y29" s="31">
        <f t="shared" si="10"/>
        <v>245</v>
      </c>
      <c r="Z29" s="6">
        <v>70</v>
      </c>
      <c r="AA29" s="6">
        <v>49</v>
      </c>
      <c r="AB29" s="6">
        <v>53</v>
      </c>
      <c r="AC29" s="6">
        <v>21</v>
      </c>
      <c r="AD29" s="6">
        <v>10</v>
      </c>
      <c r="AE29" s="6">
        <v>37</v>
      </c>
      <c r="AF29" s="31">
        <f t="shared" si="4"/>
        <v>68</v>
      </c>
      <c r="AG29" s="31">
        <f t="shared" si="5"/>
        <v>240</v>
      </c>
    </row>
    <row r="30" spans="1:33" ht="17.5" x14ac:dyDescent="0.25">
      <c r="A30" s="19" t="s">
        <v>91</v>
      </c>
      <c r="B30" s="31">
        <v>70</v>
      </c>
      <c r="C30" s="31">
        <v>99</v>
      </c>
      <c r="D30" s="31">
        <v>67</v>
      </c>
      <c r="E30" s="31">
        <v>60</v>
      </c>
      <c r="F30" s="31">
        <v>28</v>
      </c>
      <c r="G30" s="31">
        <v>40</v>
      </c>
      <c r="H30" s="31">
        <f t="shared" si="6"/>
        <v>128</v>
      </c>
      <c r="I30" s="31">
        <f t="shared" si="7"/>
        <v>364</v>
      </c>
      <c r="J30" s="6"/>
      <c r="K30" s="6"/>
      <c r="L30" s="6"/>
      <c r="M30" s="6"/>
      <c r="N30" s="6"/>
      <c r="O30" s="6"/>
      <c r="P30" s="6"/>
      <c r="Q30" s="6"/>
      <c r="R30" s="6">
        <v>72</v>
      </c>
      <c r="S30" s="6">
        <v>53</v>
      </c>
      <c r="T30" s="6">
        <v>65</v>
      </c>
      <c r="U30" s="6">
        <v>45</v>
      </c>
      <c r="V30" s="6">
        <v>21</v>
      </c>
      <c r="W30" s="6">
        <v>43</v>
      </c>
      <c r="X30" s="31">
        <f t="shared" si="9"/>
        <v>109</v>
      </c>
      <c r="Y30" s="31">
        <f t="shared" si="10"/>
        <v>299</v>
      </c>
      <c r="Z30" s="6">
        <v>82</v>
      </c>
      <c r="AA30" s="6">
        <v>93</v>
      </c>
      <c r="AB30" s="6">
        <v>67</v>
      </c>
      <c r="AC30" s="6">
        <v>43</v>
      </c>
      <c r="AD30" s="6">
        <v>36</v>
      </c>
      <c r="AE30" s="6">
        <v>35</v>
      </c>
      <c r="AF30" s="31">
        <f t="shared" si="4"/>
        <v>114</v>
      </c>
      <c r="AG30" s="31">
        <f t="shared" si="5"/>
        <v>356</v>
      </c>
    </row>
    <row r="31" spans="1:33" ht="17.5" x14ac:dyDescent="0.25">
      <c r="A31" s="34" t="s">
        <v>92</v>
      </c>
      <c r="B31" s="55">
        <v>66</v>
      </c>
      <c r="C31" s="55">
        <v>60</v>
      </c>
      <c r="D31" s="55">
        <v>69</v>
      </c>
      <c r="E31" s="55">
        <v>32</v>
      </c>
      <c r="F31" s="55">
        <v>22</v>
      </c>
      <c r="G31" s="55">
        <v>40</v>
      </c>
      <c r="H31" s="55">
        <f t="shared" si="6"/>
        <v>94</v>
      </c>
      <c r="I31" s="55">
        <f t="shared" si="7"/>
        <v>289</v>
      </c>
      <c r="J31" s="55">
        <v>64</v>
      </c>
      <c r="K31" s="55">
        <v>95</v>
      </c>
      <c r="L31" s="55">
        <v>78</v>
      </c>
      <c r="M31" s="55">
        <v>27</v>
      </c>
      <c r="N31" s="55">
        <v>21</v>
      </c>
      <c r="O31" s="55">
        <v>35</v>
      </c>
      <c r="P31" s="55">
        <v>83</v>
      </c>
      <c r="Q31" s="31">
        <f t="shared" si="8"/>
        <v>320</v>
      </c>
      <c r="R31" s="55">
        <v>66</v>
      </c>
      <c r="S31" s="55">
        <v>86</v>
      </c>
      <c r="T31" s="55">
        <v>76</v>
      </c>
      <c r="U31" s="55">
        <v>29</v>
      </c>
      <c r="V31" s="55">
        <v>16</v>
      </c>
      <c r="W31" s="55">
        <v>34</v>
      </c>
      <c r="X31" s="31">
        <f t="shared" si="9"/>
        <v>79</v>
      </c>
      <c r="Y31" s="31">
        <f t="shared" si="10"/>
        <v>307</v>
      </c>
      <c r="Z31" s="55">
        <v>72</v>
      </c>
      <c r="AA31" s="55">
        <v>86</v>
      </c>
      <c r="AB31" s="55">
        <v>75</v>
      </c>
      <c r="AC31" s="55">
        <v>33</v>
      </c>
      <c r="AD31" s="55">
        <v>10</v>
      </c>
      <c r="AE31" s="55">
        <v>35</v>
      </c>
      <c r="AF31" s="31">
        <f t="shared" si="4"/>
        <v>78</v>
      </c>
      <c r="AG31" s="31">
        <f t="shared" si="5"/>
        <v>311</v>
      </c>
    </row>
    <row r="32" spans="1:33" ht="17.5" x14ac:dyDescent="0.25">
      <c r="A32" s="34" t="s">
        <v>93</v>
      </c>
      <c r="B32" s="55"/>
      <c r="C32" s="55"/>
      <c r="D32" s="55"/>
      <c r="E32" s="55"/>
      <c r="F32" s="55"/>
      <c r="G32" s="55"/>
      <c r="H32" s="55"/>
      <c r="I32" s="55"/>
      <c r="J32" s="55">
        <v>56</v>
      </c>
      <c r="K32" s="55">
        <v>67</v>
      </c>
      <c r="L32" s="55">
        <v>64</v>
      </c>
      <c r="M32" s="55">
        <v>27</v>
      </c>
      <c r="N32" s="55">
        <v>20</v>
      </c>
      <c r="O32" s="55">
        <v>32</v>
      </c>
      <c r="P32" s="55">
        <v>79</v>
      </c>
      <c r="Q32" s="31">
        <f t="shared" si="8"/>
        <v>266</v>
      </c>
      <c r="R32" s="55">
        <v>66</v>
      </c>
      <c r="S32" s="55">
        <v>48</v>
      </c>
      <c r="T32" s="55">
        <v>56</v>
      </c>
      <c r="U32" s="55">
        <v>33</v>
      </c>
      <c r="V32" s="55">
        <v>24</v>
      </c>
      <c r="W32" s="55">
        <v>38</v>
      </c>
      <c r="X32" s="31">
        <f t="shared" si="9"/>
        <v>95</v>
      </c>
      <c r="Y32" s="31">
        <f t="shared" si="10"/>
        <v>265</v>
      </c>
      <c r="Z32" s="55">
        <v>68</v>
      </c>
      <c r="AA32" s="55">
        <v>45</v>
      </c>
      <c r="AB32" s="55">
        <v>52</v>
      </c>
      <c r="AC32" s="55">
        <v>27</v>
      </c>
      <c r="AD32" s="55">
        <v>19</v>
      </c>
      <c r="AE32" s="55">
        <v>31</v>
      </c>
      <c r="AF32" s="31">
        <f t="shared" si="4"/>
        <v>77</v>
      </c>
      <c r="AG32" s="31">
        <f t="shared" si="5"/>
        <v>242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Z1:AG1"/>
    <mergeCell ref="B1:I1"/>
    <mergeCell ref="J1:Q1"/>
    <mergeCell ref="R1:Y1"/>
  </mergeCells>
  <phoneticPr fontId="1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44"/>
  <sheetViews>
    <sheetView zoomScale="55" zoomScaleNormal="55" workbookViewId="0">
      <selection activeCell="Y2" activeCellId="3" sqref="D2 K2 R2 Y2"/>
    </sheetView>
  </sheetViews>
  <sheetFormatPr defaultColWidth="9.6328125" defaultRowHeight="14" x14ac:dyDescent="0.25"/>
  <cols>
    <col min="1" max="1" width="16.6328125" customWidth="1"/>
    <col min="2" max="2" width="12.6328125" customWidth="1"/>
    <col min="3" max="7" width="9.6328125" customWidth="1"/>
    <col min="8" max="8" width="12.6328125" customWidth="1"/>
    <col min="9" max="15" width="9.6328125" customWidth="1"/>
    <col min="16" max="16" width="12.6328125" customWidth="1"/>
    <col min="17" max="21" width="9.6328125" customWidth="1"/>
    <col min="22" max="22" width="12.6328125" customWidth="1"/>
    <col min="24" max="29" width="12.6328125"/>
  </cols>
  <sheetData>
    <row r="1" spans="1:29" s="2" customFormat="1" ht="17.5" x14ac:dyDescent="0.25">
      <c r="A1" s="13"/>
      <c r="B1" s="93" t="s">
        <v>0</v>
      </c>
      <c r="C1" s="93"/>
      <c r="D1" s="93"/>
      <c r="E1" s="93"/>
      <c r="F1" s="93"/>
      <c r="G1" s="93"/>
      <c r="H1" s="93"/>
      <c r="I1" s="93" t="s">
        <v>1</v>
      </c>
      <c r="J1" s="93"/>
      <c r="K1" s="93"/>
      <c r="L1" s="93"/>
      <c r="M1" s="93"/>
      <c r="N1" s="93"/>
      <c r="O1" s="93"/>
      <c r="P1" s="93" t="s">
        <v>2</v>
      </c>
      <c r="Q1" s="93"/>
      <c r="R1" s="93"/>
      <c r="S1" s="93"/>
      <c r="T1" s="93"/>
      <c r="U1" s="93"/>
      <c r="V1" s="93"/>
      <c r="W1" s="93" t="s">
        <v>38</v>
      </c>
      <c r="X1" s="93"/>
      <c r="Y1" s="93"/>
      <c r="Z1" s="93"/>
      <c r="AA1" s="93"/>
      <c r="AB1" s="93"/>
      <c r="AC1" s="93"/>
    </row>
    <row r="2" spans="1:29" s="2" customFormat="1" ht="17.5" x14ac:dyDescent="0.25">
      <c r="A2" s="6" t="s">
        <v>5</v>
      </c>
      <c r="B2" s="2" t="s">
        <v>3</v>
      </c>
      <c r="C2" s="2" t="s">
        <v>4</v>
      </c>
      <c r="D2" s="62" t="s">
        <v>531</v>
      </c>
      <c r="E2" s="2" t="s">
        <v>6</v>
      </c>
      <c r="F2" s="16" t="s">
        <v>95</v>
      </c>
      <c r="G2" s="3" t="s">
        <v>8</v>
      </c>
      <c r="H2" s="3" t="s">
        <v>9</v>
      </c>
      <c r="I2" s="2" t="s">
        <v>3</v>
      </c>
      <c r="J2" s="2" t="s">
        <v>4</v>
      </c>
      <c r="K2" s="62" t="s">
        <v>531</v>
      </c>
      <c r="L2" s="2" t="s">
        <v>6</v>
      </c>
      <c r="M2" s="16" t="s">
        <v>95</v>
      </c>
      <c r="N2" s="3" t="s">
        <v>8</v>
      </c>
      <c r="O2" s="3" t="s">
        <v>9</v>
      </c>
      <c r="P2" s="2" t="s">
        <v>3</v>
      </c>
      <c r="Q2" s="2" t="s">
        <v>4</v>
      </c>
      <c r="R2" s="62" t="s">
        <v>531</v>
      </c>
      <c r="S2" s="2" t="s">
        <v>6</v>
      </c>
      <c r="T2" s="16" t="s">
        <v>95</v>
      </c>
      <c r="U2" s="3" t="s">
        <v>8</v>
      </c>
      <c r="V2" s="3" t="s">
        <v>9</v>
      </c>
      <c r="W2" s="2" t="s">
        <v>3</v>
      </c>
      <c r="X2" s="2" t="s">
        <v>4</v>
      </c>
      <c r="Y2" s="62" t="s">
        <v>531</v>
      </c>
      <c r="Z2" s="2" t="s">
        <v>6</v>
      </c>
      <c r="AA2" s="16" t="s">
        <v>95</v>
      </c>
      <c r="AB2" s="3" t="s">
        <v>8</v>
      </c>
      <c r="AC2" s="3" t="s">
        <v>9</v>
      </c>
    </row>
    <row r="3" spans="1:29" s="2" customFormat="1" ht="16.5" x14ac:dyDescent="0.25">
      <c r="A3" s="52" t="s">
        <v>96</v>
      </c>
      <c r="B3" s="2">
        <v>84</v>
      </c>
      <c r="C3" s="2">
        <v>61</v>
      </c>
      <c r="D3" s="2">
        <v>73</v>
      </c>
      <c r="E3" s="2">
        <v>81</v>
      </c>
      <c r="F3" s="2">
        <v>30</v>
      </c>
      <c r="G3" s="2">
        <f t="shared" ref="G3:G12" si="0">SUM(E3:F3)</f>
        <v>111</v>
      </c>
      <c r="H3" s="2">
        <f t="shared" ref="H3:H12" si="1">B3+C3+D3+E3+F3</f>
        <v>329</v>
      </c>
      <c r="I3" s="2">
        <v>62</v>
      </c>
      <c r="J3" s="2">
        <v>73</v>
      </c>
      <c r="K3" s="2">
        <v>62</v>
      </c>
      <c r="L3" s="2">
        <v>56</v>
      </c>
      <c r="M3" s="2">
        <v>26</v>
      </c>
      <c r="N3" s="2">
        <f>L3+M3</f>
        <v>82</v>
      </c>
      <c r="O3" s="2">
        <f t="shared" ref="O3:O12" si="2">I3+N3+J3+K3</f>
        <v>279</v>
      </c>
      <c r="P3" s="2">
        <v>82</v>
      </c>
      <c r="Q3" s="2">
        <v>67</v>
      </c>
      <c r="R3" s="2">
        <v>80</v>
      </c>
      <c r="S3" s="2">
        <v>67</v>
      </c>
      <c r="T3" s="2">
        <v>37.5</v>
      </c>
      <c r="U3" s="2">
        <f t="shared" ref="U3:U12" si="3">T3+S3</f>
        <v>104.5</v>
      </c>
      <c r="V3" s="2">
        <f t="shared" ref="V3:V12" si="4">U3+R3+Q3+P3</f>
        <v>333.5</v>
      </c>
      <c r="W3" s="2">
        <v>82</v>
      </c>
      <c r="X3" s="2">
        <v>54</v>
      </c>
      <c r="Y3" s="2">
        <v>64</v>
      </c>
      <c r="Z3" s="2">
        <v>82</v>
      </c>
      <c r="AA3" s="2">
        <v>39</v>
      </c>
      <c r="AB3" s="2">
        <f>Z3+AA3</f>
        <v>121</v>
      </c>
      <c r="AC3" s="2">
        <f>AB3+Y3+X3+W3</f>
        <v>321</v>
      </c>
    </row>
    <row r="4" spans="1:29" s="2" customFormat="1" ht="16.5" x14ac:dyDescent="0.25">
      <c r="A4" s="52" t="s">
        <v>97</v>
      </c>
      <c r="B4" s="2">
        <v>56</v>
      </c>
      <c r="C4" s="2">
        <v>76</v>
      </c>
      <c r="D4" s="2">
        <v>72</v>
      </c>
      <c r="E4" s="2">
        <v>75</v>
      </c>
      <c r="F4" s="2">
        <v>39</v>
      </c>
      <c r="G4" s="2">
        <f t="shared" si="0"/>
        <v>114</v>
      </c>
      <c r="H4" s="2">
        <f t="shared" si="1"/>
        <v>318</v>
      </c>
      <c r="I4" s="2">
        <v>64</v>
      </c>
      <c r="J4" s="2">
        <v>63</v>
      </c>
      <c r="K4" s="2">
        <v>70</v>
      </c>
      <c r="L4" s="2">
        <v>56</v>
      </c>
      <c r="M4" s="2">
        <v>22</v>
      </c>
      <c r="N4" s="2">
        <f t="shared" ref="N4:N13" si="5">L4+M4</f>
        <v>78</v>
      </c>
      <c r="O4" s="2">
        <f t="shared" si="2"/>
        <v>275</v>
      </c>
      <c r="P4" s="2">
        <v>92</v>
      </c>
      <c r="Q4" s="2">
        <v>71</v>
      </c>
      <c r="R4" s="2">
        <v>76</v>
      </c>
      <c r="S4" s="2">
        <v>48</v>
      </c>
      <c r="T4" s="2">
        <v>34.5</v>
      </c>
      <c r="U4" s="2">
        <f t="shared" si="3"/>
        <v>82.5</v>
      </c>
      <c r="V4" s="2">
        <f t="shared" si="4"/>
        <v>321.5</v>
      </c>
      <c r="W4" s="2">
        <v>86</v>
      </c>
      <c r="X4" s="2">
        <v>81</v>
      </c>
      <c r="Y4" s="2">
        <v>70</v>
      </c>
      <c r="Z4" s="2">
        <v>59</v>
      </c>
      <c r="AA4" s="2">
        <v>39</v>
      </c>
      <c r="AB4" s="2">
        <f t="shared" ref="AB4:AB42" si="6">Z4+AA4</f>
        <v>98</v>
      </c>
      <c r="AC4" s="2">
        <f t="shared" ref="AC4:AC43" si="7">AB4+Y4+X4+W4</f>
        <v>335</v>
      </c>
    </row>
    <row r="5" spans="1:29" s="2" customFormat="1" ht="16.5" x14ac:dyDescent="0.25">
      <c r="A5" s="52" t="s">
        <v>98</v>
      </c>
      <c r="B5" s="2">
        <v>42</v>
      </c>
      <c r="C5" s="2">
        <v>63</v>
      </c>
      <c r="D5" s="2">
        <v>60</v>
      </c>
      <c r="E5" s="2">
        <v>77</v>
      </c>
      <c r="F5" s="2">
        <v>36</v>
      </c>
      <c r="G5" s="2">
        <f t="shared" si="0"/>
        <v>113</v>
      </c>
      <c r="H5" s="2">
        <f t="shared" si="1"/>
        <v>278</v>
      </c>
      <c r="I5" s="2">
        <v>72</v>
      </c>
      <c r="J5" s="2">
        <v>68</v>
      </c>
      <c r="K5" s="2">
        <v>70</v>
      </c>
      <c r="L5" s="2">
        <v>47</v>
      </c>
      <c r="M5" s="2">
        <v>23</v>
      </c>
      <c r="N5" s="2">
        <f t="shared" si="5"/>
        <v>70</v>
      </c>
      <c r="O5" s="2">
        <f t="shared" si="2"/>
        <v>280</v>
      </c>
      <c r="P5" s="2">
        <v>78</v>
      </c>
      <c r="Q5" s="2">
        <v>66</v>
      </c>
      <c r="R5" s="2">
        <v>88</v>
      </c>
      <c r="S5" s="2">
        <v>53</v>
      </c>
      <c r="T5" s="2">
        <v>30</v>
      </c>
      <c r="U5" s="2">
        <f t="shared" si="3"/>
        <v>83</v>
      </c>
      <c r="V5" s="2">
        <f t="shared" si="4"/>
        <v>315</v>
      </c>
      <c r="W5" s="2">
        <v>76</v>
      </c>
      <c r="X5" s="2">
        <v>56</v>
      </c>
      <c r="Y5" s="2">
        <v>68</v>
      </c>
      <c r="Z5" s="2">
        <v>68</v>
      </c>
      <c r="AA5" s="2">
        <v>37.5</v>
      </c>
      <c r="AB5" s="2">
        <f t="shared" si="6"/>
        <v>105.5</v>
      </c>
      <c r="AC5" s="2">
        <f t="shared" si="7"/>
        <v>305.5</v>
      </c>
    </row>
    <row r="6" spans="1:29" s="2" customFormat="1" ht="16.5" x14ac:dyDescent="0.25">
      <c r="A6" s="52" t="s">
        <v>99</v>
      </c>
      <c r="B6" s="2">
        <v>76</v>
      </c>
      <c r="C6" s="2">
        <v>66</v>
      </c>
      <c r="D6" s="2">
        <v>67</v>
      </c>
      <c r="E6" s="2">
        <v>86</v>
      </c>
      <c r="F6" s="2">
        <v>27</v>
      </c>
      <c r="G6" s="2">
        <f t="shared" si="0"/>
        <v>113</v>
      </c>
      <c r="H6" s="2">
        <f t="shared" si="1"/>
        <v>322</v>
      </c>
      <c r="I6" s="2">
        <v>62</v>
      </c>
      <c r="J6" s="2">
        <v>54</v>
      </c>
      <c r="K6" s="2">
        <v>78</v>
      </c>
      <c r="L6" s="2">
        <v>49</v>
      </c>
      <c r="M6" s="2">
        <v>21</v>
      </c>
      <c r="N6" s="2">
        <f t="shared" si="5"/>
        <v>70</v>
      </c>
      <c r="O6" s="2">
        <f t="shared" si="2"/>
        <v>264</v>
      </c>
      <c r="P6" s="2">
        <v>66</v>
      </c>
      <c r="Q6" s="2">
        <v>67</v>
      </c>
      <c r="R6" s="2">
        <v>62</v>
      </c>
      <c r="S6" s="2">
        <v>33</v>
      </c>
      <c r="T6" s="2">
        <v>36</v>
      </c>
      <c r="U6" s="2">
        <f t="shared" si="3"/>
        <v>69</v>
      </c>
      <c r="V6" s="2">
        <f t="shared" si="4"/>
        <v>264</v>
      </c>
      <c r="W6" s="2">
        <v>74</v>
      </c>
      <c r="X6" s="2">
        <v>65</v>
      </c>
      <c r="Y6" s="2">
        <v>78</v>
      </c>
      <c r="Z6" s="2">
        <v>72</v>
      </c>
      <c r="AA6" s="2">
        <v>31.5</v>
      </c>
      <c r="AB6" s="2">
        <f t="shared" si="6"/>
        <v>103.5</v>
      </c>
      <c r="AC6" s="2">
        <f t="shared" si="7"/>
        <v>320.5</v>
      </c>
    </row>
    <row r="7" spans="1:29" s="2" customFormat="1" ht="16.5" x14ac:dyDescent="0.25">
      <c r="A7" s="52" t="s">
        <v>100</v>
      </c>
      <c r="B7" s="2">
        <v>84</v>
      </c>
      <c r="C7" s="2">
        <v>98</v>
      </c>
      <c r="D7" s="2">
        <v>71</v>
      </c>
      <c r="E7" s="2">
        <v>94</v>
      </c>
      <c r="F7" s="2">
        <v>39</v>
      </c>
      <c r="G7" s="2">
        <f t="shared" si="0"/>
        <v>133</v>
      </c>
      <c r="H7" s="2">
        <f t="shared" si="1"/>
        <v>386</v>
      </c>
      <c r="I7" s="2">
        <v>72</v>
      </c>
      <c r="J7" s="2">
        <v>89</v>
      </c>
      <c r="K7" s="2">
        <v>70</v>
      </c>
      <c r="L7" s="2">
        <v>69</v>
      </c>
      <c r="M7" s="2">
        <v>19</v>
      </c>
      <c r="N7" s="2">
        <f t="shared" si="5"/>
        <v>88</v>
      </c>
      <c r="O7" s="2">
        <f t="shared" si="2"/>
        <v>319</v>
      </c>
      <c r="P7" s="2">
        <v>86</v>
      </c>
      <c r="Q7" s="2">
        <v>91</v>
      </c>
      <c r="R7" s="2">
        <v>94</v>
      </c>
      <c r="S7" s="2">
        <v>72</v>
      </c>
      <c r="T7" s="2">
        <v>39</v>
      </c>
      <c r="U7" s="2">
        <f t="shared" si="3"/>
        <v>111</v>
      </c>
      <c r="V7" s="2">
        <f t="shared" si="4"/>
        <v>382</v>
      </c>
      <c r="W7" s="2">
        <v>84</v>
      </c>
      <c r="X7" s="2">
        <v>90</v>
      </c>
      <c r="Y7" s="2">
        <v>72</v>
      </c>
      <c r="Z7" s="2">
        <v>87</v>
      </c>
      <c r="AA7" s="2">
        <v>39</v>
      </c>
      <c r="AB7" s="2">
        <f t="shared" si="6"/>
        <v>126</v>
      </c>
      <c r="AC7" s="2">
        <f t="shared" si="7"/>
        <v>372</v>
      </c>
    </row>
    <row r="8" spans="1:29" s="2" customFormat="1" ht="16.5" x14ac:dyDescent="0.25">
      <c r="A8" s="52" t="s">
        <v>101</v>
      </c>
      <c r="B8" s="2">
        <v>84</v>
      </c>
      <c r="C8" s="2">
        <v>95</v>
      </c>
      <c r="D8" s="2">
        <v>75</v>
      </c>
      <c r="E8" s="2">
        <v>92</v>
      </c>
      <c r="F8" s="2">
        <v>43.5</v>
      </c>
      <c r="G8" s="2">
        <f t="shared" si="0"/>
        <v>135.5</v>
      </c>
      <c r="H8" s="2">
        <f t="shared" si="1"/>
        <v>389.5</v>
      </c>
      <c r="I8" s="2">
        <v>84</v>
      </c>
      <c r="J8" s="2">
        <v>93</v>
      </c>
      <c r="K8" s="2">
        <v>70</v>
      </c>
      <c r="L8" s="2">
        <v>73</v>
      </c>
      <c r="M8" s="2">
        <v>24</v>
      </c>
      <c r="N8" s="2">
        <f t="shared" si="5"/>
        <v>97</v>
      </c>
      <c r="O8" s="2">
        <f t="shared" si="2"/>
        <v>344</v>
      </c>
      <c r="P8" s="2">
        <v>92</v>
      </c>
      <c r="Q8" s="2">
        <v>92</v>
      </c>
      <c r="R8" s="2">
        <v>82</v>
      </c>
      <c r="S8" s="2">
        <v>89</v>
      </c>
      <c r="T8" s="2">
        <v>39</v>
      </c>
      <c r="U8" s="2">
        <f t="shared" si="3"/>
        <v>128</v>
      </c>
      <c r="V8" s="2">
        <f t="shared" si="4"/>
        <v>394</v>
      </c>
      <c r="W8" s="2">
        <v>94</v>
      </c>
      <c r="X8" s="2">
        <v>99</v>
      </c>
      <c r="Y8" s="2">
        <v>82</v>
      </c>
      <c r="Z8" s="2">
        <v>84</v>
      </c>
      <c r="AA8" s="2">
        <v>37.5</v>
      </c>
      <c r="AB8" s="2">
        <f t="shared" si="6"/>
        <v>121.5</v>
      </c>
      <c r="AC8" s="2">
        <f t="shared" si="7"/>
        <v>396.5</v>
      </c>
    </row>
    <row r="9" spans="1:29" s="2" customFormat="1" ht="16.5" x14ac:dyDescent="0.25">
      <c r="A9" s="52" t="s">
        <v>102</v>
      </c>
      <c r="B9" s="2">
        <v>86</v>
      </c>
      <c r="C9" s="2">
        <v>97</v>
      </c>
      <c r="D9" s="2">
        <v>60</v>
      </c>
      <c r="E9" s="2">
        <v>96</v>
      </c>
      <c r="F9" s="2">
        <v>36</v>
      </c>
      <c r="G9" s="2">
        <f t="shared" si="0"/>
        <v>132</v>
      </c>
      <c r="H9" s="2">
        <f t="shared" si="1"/>
        <v>375</v>
      </c>
      <c r="I9" s="2">
        <v>64</v>
      </c>
      <c r="J9" s="2">
        <v>95</v>
      </c>
      <c r="K9" s="2">
        <v>76</v>
      </c>
      <c r="L9" s="2">
        <v>65</v>
      </c>
      <c r="M9" s="2">
        <v>24</v>
      </c>
      <c r="N9" s="2">
        <f t="shared" si="5"/>
        <v>89</v>
      </c>
      <c r="O9" s="2">
        <f t="shared" si="2"/>
        <v>324</v>
      </c>
      <c r="P9" s="2">
        <v>70</v>
      </c>
      <c r="Q9" s="2">
        <v>87</v>
      </c>
      <c r="R9" s="2">
        <v>94</v>
      </c>
      <c r="S9" s="2">
        <v>83</v>
      </c>
      <c r="T9" s="2">
        <v>31.5</v>
      </c>
      <c r="U9" s="2">
        <f t="shared" si="3"/>
        <v>114.5</v>
      </c>
      <c r="V9" s="2">
        <f t="shared" si="4"/>
        <v>365.5</v>
      </c>
      <c r="W9" s="2">
        <v>86</v>
      </c>
      <c r="X9" s="2">
        <v>78</v>
      </c>
      <c r="Y9" s="2">
        <v>78</v>
      </c>
      <c r="Z9" s="2">
        <v>81</v>
      </c>
      <c r="AA9" s="2">
        <v>31.5</v>
      </c>
      <c r="AB9" s="2">
        <f t="shared" si="6"/>
        <v>112.5</v>
      </c>
      <c r="AC9" s="2">
        <f t="shared" si="7"/>
        <v>354.5</v>
      </c>
    </row>
    <row r="10" spans="1:29" s="2" customFormat="1" ht="16.5" x14ac:dyDescent="0.25">
      <c r="A10" s="52" t="s">
        <v>103</v>
      </c>
      <c r="B10" s="2">
        <v>78</v>
      </c>
      <c r="C10" s="2">
        <v>93</v>
      </c>
      <c r="D10" s="2">
        <v>75</v>
      </c>
      <c r="E10" s="2">
        <v>73</v>
      </c>
      <c r="F10" s="2">
        <v>28.5</v>
      </c>
      <c r="G10" s="2">
        <f t="shared" si="0"/>
        <v>101.5</v>
      </c>
      <c r="H10" s="2">
        <f t="shared" si="1"/>
        <v>347.5</v>
      </c>
      <c r="I10" s="2">
        <v>68</v>
      </c>
      <c r="J10" s="2">
        <v>94</v>
      </c>
      <c r="K10" s="2">
        <v>76</v>
      </c>
      <c r="L10" s="2">
        <v>59</v>
      </c>
      <c r="M10" s="2">
        <v>21</v>
      </c>
      <c r="N10" s="2">
        <f t="shared" si="5"/>
        <v>80</v>
      </c>
      <c r="O10" s="2">
        <f t="shared" si="2"/>
        <v>318</v>
      </c>
      <c r="P10" s="2">
        <v>66</v>
      </c>
      <c r="Q10" s="2">
        <v>81</v>
      </c>
      <c r="R10" s="2">
        <v>72</v>
      </c>
      <c r="S10" s="2">
        <v>52</v>
      </c>
      <c r="T10" s="2">
        <v>25.5</v>
      </c>
      <c r="U10" s="2">
        <f t="shared" si="3"/>
        <v>77.5</v>
      </c>
      <c r="V10" s="2">
        <f t="shared" si="4"/>
        <v>296.5</v>
      </c>
      <c r="W10" s="2">
        <v>70</v>
      </c>
      <c r="X10" s="2">
        <v>93</v>
      </c>
      <c r="Y10" s="2">
        <v>70</v>
      </c>
      <c r="Z10" s="2">
        <v>75</v>
      </c>
      <c r="AA10" s="2">
        <v>36</v>
      </c>
      <c r="AB10" s="2">
        <f t="shared" si="6"/>
        <v>111</v>
      </c>
      <c r="AC10" s="2">
        <f t="shared" si="7"/>
        <v>344</v>
      </c>
    </row>
    <row r="11" spans="1:29" s="2" customFormat="1" ht="16.5" x14ac:dyDescent="0.25">
      <c r="A11" s="52" t="s">
        <v>104</v>
      </c>
      <c r="B11" s="2">
        <v>62</v>
      </c>
      <c r="C11" s="2">
        <v>76</v>
      </c>
      <c r="D11" s="2">
        <v>70</v>
      </c>
      <c r="E11" s="2">
        <v>70</v>
      </c>
      <c r="F11" s="2">
        <v>25.5</v>
      </c>
      <c r="G11" s="2">
        <f t="shared" si="0"/>
        <v>95.5</v>
      </c>
      <c r="H11" s="2">
        <f t="shared" si="1"/>
        <v>303.5</v>
      </c>
      <c r="I11" s="2">
        <v>82</v>
      </c>
      <c r="J11" s="2">
        <v>53</v>
      </c>
      <c r="K11" s="2">
        <v>54</v>
      </c>
      <c r="L11" s="2">
        <v>57</v>
      </c>
      <c r="M11" s="2">
        <v>25</v>
      </c>
      <c r="N11" s="2">
        <f t="shared" si="5"/>
        <v>82</v>
      </c>
      <c r="O11" s="2">
        <f t="shared" si="2"/>
        <v>271</v>
      </c>
      <c r="P11" s="2">
        <v>68</v>
      </c>
      <c r="Q11" s="2">
        <v>54</v>
      </c>
      <c r="R11" s="2">
        <v>44</v>
      </c>
      <c r="S11" s="2">
        <v>55</v>
      </c>
      <c r="T11" s="2">
        <v>28.5</v>
      </c>
      <c r="U11" s="2">
        <f t="shared" si="3"/>
        <v>83.5</v>
      </c>
      <c r="V11" s="2">
        <f t="shared" si="4"/>
        <v>249.5</v>
      </c>
      <c r="W11" s="2">
        <v>66</v>
      </c>
      <c r="X11" s="2">
        <v>83</v>
      </c>
      <c r="Y11" s="2">
        <v>40</v>
      </c>
      <c r="Z11" s="2">
        <v>86</v>
      </c>
      <c r="AA11" s="2">
        <v>24</v>
      </c>
      <c r="AB11" s="2">
        <f t="shared" si="6"/>
        <v>110</v>
      </c>
      <c r="AC11" s="2">
        <f t="shared" si="7"/>
        <v>299</v>
      </c>
    </row>
    <row r="12" spans="1:29" s="2" customFormat="1" ht="16.5" x14ac:dyDescent="0.25">
      <c r="A12" s="52" t="s">
        <v>105</v>
      </c>
      <c r="B12" s="2">
        <v>70</v>
      </c>
      <c r="C12" s="2">
        <v>85</v>
      </c>
      <c r="D12" s="2">
        <v>57</v>
      </c>
      <c r="E12" s="2">
        <v>81</v>
      </c>
      <c r="F12" s="2">
        <v>28.5</v>
      </c>
      <c r="G12" s="2">
        <f t="shared" si="0"/>
        <v>109.5</v>
      </c>
      <c r="H12" s="2">
        <f t="shared" si="1"/>
        <v>321.5</v>
      </c>
      <c r="I12" s="2">
        <v>60</v>
      </c>
      <c r="J12" s="2">
        <v>72</v>
      </c>
      <c r="K12" s="2">
        <v>74</v>
      </c>
      <c r="L12" s="2">
        <v>59</v>
      </c>
      <c r="M12" s="2">
        <v>22</v>
      </c>
      <c r="N12" s="2">
        <f t="shared" si="5"/>
        <v>81</v>
      </c>
      <c r="O12" s="2">
        <f t="shared" si="2"/>
        <v>287</v>
      </c>
      <c r="P12" s="2">
        <v>60</v>
      </c>
      <c r="Q12" s="2">
        <v>77</v>
      </c>
      <c r="R12" s="2">
        <v>76</v>
      </c>
      <c r="S12" s="2">
        <v>55</v>
      </c>
      <c r="T12" s="2">
        <v>34.5</v>
      </c>
      <c r="U12" s="2">
        <f t="shared" si="3"/>
        <v>89.5</v>
      </c>
      <c r="V12" s="2">
        <f t="shared" si="4"/>
        <v>302.5</v>
      </c>
      <c r="W12" s="2">
        <v>78</v>
      </c>
      <c r="X12" s="2">
        <v>80</v>
      </c>
      <c r="Y12" s="2">
        <v>60</v>
      </c>
      <c r="Z12" s="2">
        <v>78</v>
      </c>
      <c r="AA12" s="2">
        <v>30</v>
      </c>
      <c r="AB12" s="2">
        <f t="shared" si="6"/>
        <v>108</v>
      </c>
      <c r="AC12" s="2">
        <f t="shared" si="7"/>
        <v>326</v>
      </c>
    </row>
    <row r="13" spans="1:29" s="2" customFormat="1" ht="16.5" x14ac:dyDescent="0.25">
      <c r="A13" s="52" t="s">
        <v>106</v>
      </c>
      <c r="B13" s="2">
        <v>68</v>
      </c>
      <c r="C13" s="2">
        <v>74</v>
      </c>
      <c r="D13" s="2">
        <v>72</v>
      </c>
      <c r="E13" s="2">
        <v>84</v>
      </c>
      <c r="F13" s="2">
        <v>31.5</v>
      </c>
      <c r="G13" s="2">
        <f t="shared" ref="G13:G42" si="8">SUM(E13:F13)</f>
        <v>115.5</v>
      </c>
      <c r="H13" s="2">
        <f t="shared" ref="H13:H42" si="9">B13+C13+D13+E13+F13</f>
        <v>329.5</v>
      </c>
      <c r="I13" s="2">
        <v>66</v>
      </c>
      <c r="J13" s="2">
        <v>57</v>
      </c>
      <c r="K13" s="2">
        <v>66</v>
      </c>
      <c r="L13" s="2">
        <v>46</v>
      </c>
      <c r="M13" s="2">
        <v>23</v>
      </c>
      <c r="N13" s="2">
        <f t="shared" si="5"/>
        <v>69</v>
      </c>
      <c r="O13" s="2">
        <f t="shared" ref="O13:O43" si="10">I13+N13+J13+K13</f>
        <v>258</v>
      </c>
      <c r="P13" s="2">
        <v>72</v>
      </c>
      <c r="Q13" s="2">
        <v>65</v>
      </c>
      <c r="R13" s="2">
        <v>72</v>
      </c>
      <c r="S13" s="2">
        <v>40</v>
      </c>
      <c r="T13" s="2">
        <v>39</v>
      </c>
      <c r="U13" s="2">
        <f t="shared" ref="U13:U39" si="11">T13+S13</f>
        <v>79</v>
      </c>
      <c r="V13" s="2">
        <f t="shared" ref="V13:V39" si="12">U13+R13+Q13+P13</f>
        <v>288</v>
      </c>
      <c r="W13" s="2">
        <v>84</v>
      </c>
      <c r="X13" s="2">
        <v>62</v>
      </c>
      <c r="Y13" s="2">
        <v>70</v>
      </c>
      <c r="Z13" s="2">
        <v>53</v>
      </c>
      <c r="AA13" s="2">
        <v>34.5</v>
      </c>
      <c r="AB13" s="2">
        <f t="shared" si="6"/>
        <v>87.5</v>
      </c>
      <c r="AC13" s="2">
        <f t="shared" si="7"/>
        <v>303.5</v>
      </c>
    </row>
    <row r="14" spans="1:29" s="2" customFormat="1" ht="16.5" x14ac:dyDescent="0.25">
      <c r="A14" s="52" t="s">
        <v>107</v>
      </c>
      <c r="B14" s="2">
        <v>96</v>
      </c>
      <c r="C14" s="2">
        <v>89</v>
      </c>
      <c r="D14" s="2">
        <v>77</v>
      </c>
      <c r="E14" s="2">
        <v>90</v>
      </c>
      <c r="F14" s="2">
        <v>40.5</v>
      </c>
      <c r="G14" s="2">
        <f t="shared" si="8"/>
        <v>130.5</v>
      </c>
      <c r="H14" s="2">
        <f t="shared" si="9"/>
        <v>392.5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2">
        <v>66</v>
      </c>
      <c r="X14" s="2">
        <v>77</v>
      </c>
      <c r="Y14" s="2">
        <v>52</v>
      </c>
      <c r="Z14" s="2">
        <v>86</v>
      </c>
      <c r="AA14" s="2">
        <v>34.5</v>
      </c>
      <c r="AB14" s="2">
        <f t="shared" si="6"/>
        <v>120.5</v>
      </c>
      <c r="AC14" s="2">
        <f t="shared" si="7"/>
        <v>315.5</v>
      </c>
    </row>
    <row r="15" spans="1:29" s="2" customFormat="1" ht="16.5" x14ac:dyDescent="0.25">
      <c r="A15" s="52" t="s">
        <v>108</v>
      </c>
      <c r="B15" s="2">
        <v>66</v>
      </c>
      <c r="C15" s="2">
        <v>59</v>
      </c>
      <c r="D15" s="2">
        <v>64</v>
      </c>
      <c r="E15" s="2">
        <v>78</v>
      </c>
      <c r="F15" s="2">
        <v>30</v>
      </c>
      <c r="G15" s="2">
        <f t="shared" si="8"/>
        <v>108</v>
      </c>
      <c r="H15" s="2">
        <f t="shared" si="9"/>
        <v>297</v>
      </c>
      <c r="I15" s="2">
        <v>66</v>
      </c>
      <c r="J15" s="2">
        <v>67</v>
      </c>
      <c r="K15" s="2">
        <v>58</v>
      </c>
      <c r="L15" s="2">
        <v>46</v>
      </c>
      <c r="M15" s="2">
        <v>20</v>
      </c>
      <c r="N15" s="2">
        <f>L15+M15</f>
        <v>66</v>
      </c>
      <c r="O15" s="2">
        <f t="shared" si="10"/>
        <v>257</v>
      </c>
      <c r="P15" s="2">
        <v>62</v>
      </c>
      <c r="Q15" s="2">
        <v>62</v>
      </c>
      <c r="R15" s="2">
        <v>74</v>
      </c>
      <c r="S15" s="2">
        <v>50</v>
      </c>
      <c r="T15" s="2">
        <v>30</v>
      </c>
      <c r="U15" s="2">
        <f t="shared" si="11"/>
        <v>80</v>
      </c>
      <c r="V15" s="2">
        <f t="shared" si="12"/>
        <v>278</v>
      </c>
      <c r="W15" s="2">
        <v>56</v>
      </c>
      <c r="X15" s="2">
        <v>63</v>
      </c>
      <c r="Y15" s="2">
        <v>62</v>
      </c>
      <c r="Z15" s="2">
        <v>76</v>
      </c>
      <c r="AA15" s="2">
        <v>34.5</v>
      </c>
      <c r="AB15" s="2">
        <f t="shared" si="6"/>
        <v>110.5</v>
      </c>
      <c r="AC15" s="2">
        <f t="shared" si="7"/>
        <v>291.5</v>
      </c>
    </row>
    <row r="16" spans="1:29" s="2" customFormat="1" ht="16.5" x14ac:dyDescent="0.4">
      <c r="A16" s="53" t="s">
        <v>109</v>
      </c>
      <c r="B16" s="2">
        <v>56</v>
      </c>
      <c r="C16" s="2">
        <v>75</v>
      </c>
      <c r="D16" s="2">
        <v>66</v>
      </c>
      <c r="E16" s="2">
        <v>86</v>
      </c>
      <c r="F16" s="2">
        <v>30</v>
      </c>
      <c r="G16" s="2">
        <f t="shared" si="8"/>
        <v>116</v>
      </c>
      <c r="H16" s="2">
        <f t="shared" si="9"/>
        <v>313</v>
      </c>
      <c r="I16" s="2">
        <v>72</v>
      </c>
      <c r="J16" s="2">
        <v>64</v>
      </c>
      <c r="K16" s="2">
        <v>62</v>
      </c>
      <c r="L16" s="2">
        <v>55</v>
      </c>
      <c r="M16" s="2">
        <v>15</v>
      </c>
      <c r="N16" s="2">
        <f t="shared" ref="N16:N33" si="13">L16+M16</f>
        <v>70</v>
      </c>
      <c r="O16" s="2">
        <f t="shared" si="10"/>
        <v>268</v>
      </c>
      <c r="P16" s="2">
        <v>70</v>
      </c>
      <c r="Q16" s="2">
        <v>66</v>
      </c>
      <c r="R16" s="2">
        <v>76</v>
      </c>
      <c r="S16" s="2">
        <v>72</v>
      </c>
      <c r="T16" s="2">
        <v>30</v>
      </c>
      <c r="U16" s="2">
        <f t="shared" si="11"/>
        <v>102</v>
      </c>
      <c r="V16" s="2">
        <f t="shared" si="12"/>
        <v>314</v>
      </c>
      <c r="W16" s="2">
        <v>62</v>
      </c>
      <c r="X16" s="2">
        <v>58</v>
      </c>
      <c r="Y16" s="2">
        <v>78</v>
      </c>
      <c r="Z16" s="2">
        <v>52</v>
      </c>
      <c r="AA16" s="2">
        <v>36</v>
      </c>
      <c r="AB16" s="2">
        <f t="shared" si="6"/>
        <v>88</v>
      </c>
      <c r="AC16" s="2">
        <f t="shared" si="7"/>
        <v>286</v>
      </c>
    </row>
    <row r="17" spans="1:29" s="2" customFormat="1" ht="16.5" x14ac:dyDescent="0.25">
      <c r="A17" s="52" t="s">
        <v>110</v>
      </c>
      <c r="B17" s="2">
        <v>88</v>
      </c>
      <c r="C17" s="2">
        <v>97</v>
      </c>
      <c r="D17" s="2">
        <v>58</v>
      </c>
      <c r="E17" s="2">
        <v>83</v>
      </c>
      <c r="F17" s="2">
        <v>31.5</v>
      </c>
      <c r="G17" s="2">
        <f t="shared" si="8"/>
        <v>114.5</v>
      </c>
      <c r="H17" s="2">
        <f t="shared" si="9"/>
        <v>357.5</v>
      </c>
      <c r="I17" s="2">
        <v>70</v>
      </c>
      <c r="J17" s="2">
        <v>80</v>
      </c>
      <c r="K17" s="2">
        <v>82</v>
      </c>
      <c r="L17" s="2">
        <v>60</v>
      </c>
      <c r="M17" s="2">
        <v>24</v>
      </c>
      <c r="N17" s="2">
        <f t="shared" si="13"/>
        <v>84</v>
      </c>
      <c r="O17" s="2">
        <f t="shared" si="10"/>
        <v>316</v>
      </c>
      <c r="P17" s="2">
        <v>84</v>
      </c>
      <c r="Q17" s="2">
        <v>92</v>
      </c>
      <c r="R17" s="2">
        <v>82</v>
      </c>
      <c r="S17" s="2">
        <v>69</v>
      </c>
      <c r="T17" s="2">
        <v>34.5</v>
      </c>
      <c r="U17" s="2">
        <f t="shared" si="11"/>
        <v>103.5</v>
      </c>
      <c r="V17" s="2">
        <f t="shared" si="12"/>
        <v>361.5</v>
      </c>
      <c r="W17" s="2">
        <v>88</v>
      </c>
      <c r="X17" s="2">
        <v>92</v>
      </c>
      <c r="Y17" s="2">
        <v>80</v>
      </c>
      <c r="Z17" s="2">
        <v>81</v>
      </c>
      <c r="AA17" s="2">
        <v>36</v>
      </c>
      <c r="AB17" s="2">
        <f t="shared" si="6"/>
        <v>117</v>
      </c>
      <c r="AC17" s="2">
        <f t="shared" si="7"/>
        <v>377</v>
      </c>
    </row>
    <row r="18" spans="1:29" s="2" customFormat="1" ht="16.5" x14ac:dyDescent="0.25">
      <c r="A18" s="52" t="s">
        <v>111</v>
      </c>
      <c r="B18" s="2">
        <v>82</v>
      </c>
      <c r="C18" s="2">
        <v>85</v>
      </c>
      <c r="D18" s="2">
        <v>70</v>
      </c>
      <c r="E18" s="2">
        <v>60</v>
      </c>
      <c r="F18" s="2">
        <v>40.5</v>
      </c>
      <c r="G18" s="2">
        <f t="shared" si="8"/>
        <v>100.5</v>
      </c>
      <c r="H18" s="2">
        <f t="shared" si="9"/>
        <v>337.5</v>
      </c>
      <c r="I18" s="2">
        <v>68</v>
      </c>
      <c r="J18" s="2">
        <v>74</v>
      </c>
      <c r="K18" s="2">
        <v>80</v>
      </c>
      <c r="L18" s="2">
        <v>58</v>
      </c>
      <c r="M18" s="2">
        <v>24</v>
      </c>
      <c r="N18" s="2">
        <f t="shared" si="13"/>
        <v>82</v>
      </c>
      <c r="O18" s="2">
        <f t="shared" si="10"/>
        <v>304</v>
      </c>
      <c r="P18" s="2">
        <v>86</v>
      </c>
      <c r="Q18" s="2">
        <v>55</v>
      </c>
      <c r="R18" s="2">
        <v>64</v>
      </c>
      <c r="S18" s="2">
        <v>45</v>
      </c>
      <c r="T18" s="2">
        <v>36</v>
      </c>
      <c r="U18" s="2">
        <f t="shared" si="11"/>
        <v>81</v>
      </c>
      <c r="V18" s="2">
        <f t="shared" si="12"/>
        <v>286</v>
      </c>
      <c r="W18" s="2">
        <v>92</v>
      </c>
      <c r="X18" s="2">
        <v>91</v>
      </c>
      <c r="Y18" s="2">
        <v>76</v>
      </c>
      <c r="Z18" s="2">
        <v>64</v>
      </c>
      <c r="AA18" s="2">
        <v>36</v>
      </c>
      <c r="AB18" s="2">
        <f t="shared" si="6"/>
        <v>100</v>
      </c>
      <c r="AC18" s="2">
        <f t="shared" si="7"/>
        <v>359</v>
      </c>
    </row>
    <row r="19" spans="1:29" s="2" customFormat="1" ht="16.5" x14ac:dyDescent="0.25">
      <c r="A19" s="52" t="s">
        <v>112</v>
      </c>
      <c r="B19" s="2">
        <v>90</v>
      </c>
      <c r="C19" s="2">
        <v>99</v>
      </c>
      <c r="D19" s="2">
        <v>84</v>
      </c>
      <c r="E19" s="2">
        <v>89</v>
      </c>
      <c r="F19" s="2">
        <v>36</v>
      </c>
      <c r="G19" s="2">
        <f t="shared" si="8"/>
        <v>125</v>
      </c>
      <c r="H19" s="2">
        <f t="shared" si="9"/>
        <v>398</v>
      </c>
      <c r="I19" s="2">
        <v>86</v>
      </c>
      <c r="J19" s="2">
        <v>87</v>
      </c>
      <c r="K19" s="2">
        <v>84</v>
      </c>
      <c r="L19" s="2">
        <v>68</v>
      </c>
      <c r="M19" s="2">
        <v>23</v>
      </c>
      <c r="N19" s="2">
        <f t="shared" si="13"/>
        <v>91</v>
      </c>
      <c r="O19" s="2">
        <f t="shared" si="10"/>
        <v>348</v>
      </c>
      <c r="P19" s="2">
        <v>94</v>
      </c>
      <c r="Q19" s="2">
        <v>92</v>
      </c>
      <c r="R19" s="2">
        <v>90</v>
      </c>
      <c r="S19" s="2">
        <v>64</v>
      </c>
      <c r="T19" s="2">
        <v>34.5</v>
      </c>
      <c r="U19" s="2">
        <f t="shared" si="11"/>
        <v>98.5</v>
      </c>
      <c r="V19" s="2">
        <f t="shared" si="12"/>
        <v>374.5</v>
      </c>
      <c r="W19" s="2">
        <v>90</v>
      </c>
      <c r="X19" s="2">
        <v>88</v>
      </c>
      <c r="Y19" s="2">
        <v>74</v>
      </c>
      <c r="Z19" s="2">
        <v>82</v>
      </c>
      <c r="AA19" s="2">
        <v>37.5</v>
      </c>
      <c r="AB19" s="2">
        <f t="shared" si="6"/>
        <v>119.5</v>
      </c>
      <c r="AC19" s="2">
        <f t="shared" si="7"/>
        <v>371.5</v>
      </c>
    </row>
    <row r="20" spans="1:29" s="2" customFormat="1" ht="16.5" x14ac:dyDescent="0.25">
      <c r="A20" s="52" t="s">
        <v>113</v>
      </c>
      <c r="B20" s="2">
        <v>94</v>
      </c>
      <c r="C20" s="2">
        <v>92</v>
      </c>
      <c r="D20" s="2">
        <v>80</v>
      </c>
      <c r="E20" s="2">
        <v>86</v>
      </c>
      <c r="F20" s="2">
        <v>40.5</v>
      </c>
      <c r="G20" s="2">
        <f t="shared" si="8"/>
        <v>126.5</v>
      </c>
      <c r="H20" s="2">
        <f t="shared" si="9"/>
        <v>392.5</v>
      </c>
      <c r="I20" s="2">
        <v>84</v>
      </c>
      <c r="J20" s="2">
        <v>91</v>
      </c>
      <c r="K20" s="2">
        <v>70</v>
      </c>
      <c r="L20" s="2">
        <v>87</v>
      </c>
      <c r="M20" s="2">
        <v>24</v>
      </c>
      <c r="N20" s="2">
        <f t="shared" si="13"/>
        <v>111</v>
      </c>
      <c r="O20" s="2">
        <f t="shared" si="10"/>
        <v>356</v>
      </c>
      <c r="P20" s="2">
        <v>96</v>
      </c>
      <c r="Q20" s="2">
        <v>89</v>
      </c>
      <c r="R20" s="2">
        <v>90</v>
      </c>
      <c r="S20" s="2">
        <v>78</v>
      </c>
      <c r="T20" s="2">
        <v>40.5</v>
      </c>
      <c r="U20" s="2">
        <f t="shared" si="11"/>
        <v>118.5</v>
      </c>
      <c r="V20" s="2">
        <f t="shared" si="12"/>
        <v>393.5</v>
      </c>
      <c r="W20" s="2">
        <v>92</v>
      </c>
      <c r="X20" s="2">
        <v>94</v>
      </c>
      <c r="Y20" s="2">
        <v>88</v>
      </c>
      <c r="Z20" s="2">
        <v>93</v>
      </c>
      <c r="AA20" s="2">
        <v>42</v>
      </c>
      <c r="AB20" s="2">
        <f t="shared" si="6"/>
        <v>135</v>
      </c>
      <c r="AC20" s="2">
        <f t="shared" si="7"/>
        <v>409</v>
      </c>
    </row>
    <row r="21" spans="1:29" s="2" customFormat="1" ht="16.5" x14ac:dyDescent="0.25">
      <c r="A21" s="52" t="s">
        <v>114</v>
      </c>
      <c r="B21" s="2">
        <v>82</v>
      </c>
      <c r="C21" s="2">
        <v>94</v>
      </c>
      <c r="D21" s="2">
        <v>84</v>
      </c>
      <c r="E21" s="2">
        <v>105</v>
      </c>
      <c r="F21" s="2">
        <v>28.5</v>
      </c>
      <c r="G21" s="2">
        <f t="shared" si="8"/>
        <v>133.5</v>
      </c>
      <c r="H21" s="2">
        <f t="shared" si="9"/>
        <v>393.5</v>
      </c>
      <c r="I21" s="2">
        <v>82</v>
      </c>
      <c r="J21" s="2">
        <v>82</v>
      </c>
      <c r="K21" s="2">
        <v>72</v>
      </c>
      <c r="L21" s="2">
        <v>75</v>
      </c>
      <c r="M21" s="2">
        <v>22</v>
      </c>
      <c r="N21" s="2">
        <f t="shared" si="13"/>
        <v>97</v>
      </c>
      <c r="O21" s="2">
        <f t="shared" si="10"/>
        <v>333</v>
      </c>
      <c r="P21" s="2">
        <v>84</v>
      </c>
      <c r="Q21" s="2">
        <v>84</v>
      </c>
      <c r="R21" s="2">
        <v>88</v>
      </c>
      <c r="S21" s="2">
        <v>93</v>
      </c>
      <c r="T21" s="2">
        <v>36</v>
      </c>
      <c r="U21" s="2">
        <f t="shared" si="11"/>
        <v>129</v>
      </c>
      <c r="V21" s="2">
        <f t="shared" si="12"/>
        <v>385</v>
      </c>
      <c r="W21" s="2">
        <v>90</v>
      </c>
      <c r="X21" s="2">
        <v>93</v>
      </c>
      <c r="Y21" s="2">
        <v>76</v>
      </c>
      <c r="Z21" s="2">
        <v>79</v>
      </c>
      <c r="AA21" s="2">
        <v>33</v>
      </c>
      <c r="AB21" s="2">
        <f t="shared" si="6"/>
        <v>112</v>
      </c>
      <c r="AC21" s="2">
        <f t="shared" si="7"/>
        <v>371</v>
      </c>
    </row>
    <row r="22" spans="1:29" s="2" customFormat="1" ht="16.5" x14ac:dyDescent="0.25">
      <c r="A22" s="52" t="s">
        <v>115</v>
      </c>
      <c r="B22" s="2">
        <v>78</v>
      </c>
      <c r="C22" s="2">
        <v>80</v>
      </c>
      <c r="D22" s="2">
        <v>82</v>
      </c>
      <c r="E22" s="2">
        <v>87</v>
      </c>
      <c r="F22" s="2">
        <v>34.5</v>
      </c>
      <c r="G22" s="2">
        <f t="shared" si="8"/>
        <v>121.5</v>
      </c>
      <c r="H22" s="2">
        <f t="shared" si="9"/>
        <v>361.5</v>
      </c>
      <c r="I22" s="2">
        <v>70</v>
      </c>
      <c r="J22" s="2">
        <v>80</v>
      </c>
      <c r="K22" s="2">
        <v>84</v>
      </c>
      <c r="L22" s="2">
        <v>66</v>
      </c>
      <c r="M22" s="2">
        <v>22</v>
      </c>
      <c r="N22" s="2">
        <f t="shared" si="13"/>
        <v>88</v>
      </c>
      <c r="O22" s="2">
        <f t="shared" si="10"/>
        <v>322</v>
      </c>
      <c r="P22" s="2">
        <v>82</v>
      </c>
      <c r="Q22" s="2">
        <v>82</v>
      </c>
      <c r="R22" s="2">
        <v>88</v>
      </c>
      <c r="S22" s="2">
        <v>83</v>
      </c>
      <c r="T22" s="2">
        <v>40.5</v>
      </c>
      <c r="U22" s="2">
        <f t="shared" si="11"/>
        <v>123.5</v>
      </c>
      <c r="V22" s="2">
        <f t="shared" si="12"/>
        <v>375.5</v>
      </c>
      <c r="W22" s="2">
        <v>84</v>
      </c>
      <c r="X22" s="2">
        <v>78</v>
      </c>
      <c r="Y22" s="2">
        <v>82</v>
      </c>
      <c r="Z22" s="2">
        <v>81</v>
      </c>
      <c r="AA22" s="2">
        <v>40.5</v>
      </c>
      <c r="AB22" s="2">
        <f t="shared" si="6"/>
        <v>121.5</v>
      </c>
      <c r="AC22" s="2">
        <f t="shared" si="7"/>
        <v>365.5</v>
      </c>
    </row>
    <row r="23" spans="1:29" s="2" customFormat="1" ht="16.5" x14ac:dyDescent="0.25">
      <c r="A23" s="52" t="s">
        <v>116</v>
      </c>
      <c r="B23" s="2">
        <v>78</v>
      </c>
      <c r="C23" s="2">
        <v>95</v>
      </c>
      <c r="D23" s="2">
        <v>74</v>
      </c>
      <c r="E23" s="2">
        <v>84</v>
      </c>
      <c r="F23" s="2">
        <v>33</v>
      </c>
      <c r="G23" s="2">
        <f t="shared" si="8"/>
        <v>117</v>
      </c>
      <c r="H23" s="2">
        <f t="shared" si="9"/>
        <v>364</v>
      </c>
      <c r="I23" s="2">
        <v>64</v>
      </c>
      <c r="J23" s="2">
        <v>75</v>
      </c>
      <c r="K23" s="2">
        <v>68</v>
      </c>
      <c r="L23" s="2">
        <v>76</v>
      </c>
      <c r="M23" s="2">
        <v>24</v>
      </c>
      <c r="N23" s="2">
        <f t="shared" si="13"/>
        <v>100</v>
      </c>
      <c r="O23" s="2">
        <f t="shared" si="10"/>
        <v>307</v>
      </c>
      <c r="P23" s="2">
        <v>66</v>
      </c>
      <c r="Q23" s="2">
        <v>81</v>
      </c>
      <c r="R23" s="2">
        <v>68</v>
      </c>
      <c r="S23" s="2">
        <v>43</v>
      </c>
      <c r="T23" s="2">
        <v>31.5</v>
      </c>
      <c r="U23" s="2">
        <f t="shared" si="11"/>
        <v>74.5</v>
      </c>
      <c r="V23" s="2">
        <f t="shared" si="12"/>
        <v>289.5</v>
      </c>
      <c r="W23" s="2">
        <v>92</v>
      </c>
      <c r="X23" s="2">
        <v>91</v>
      </c>
      <c r="Y23" s="2">
        <v>68</v>
      </c>
      <c r="Z23" s="2">
        <v>54</v>
      </c>
      <c r="AA23" s="2">
        <v>36</v>
      </c>
      <c r="AB23" s="2">
        <f t="shared" si="6"/>
        <v>90</v>
      </c>
      <c r="AC23" s="2">
        <f t="shared" si="7"/>
        <v>341</v>
      </c>
    </row>
    <row r="24" spans="1:29" s="2" customFormat="1" ht="16.5" x14ac:dyDescent="0.25">
      <c r="A24" s="52" t="s">
        <v>117</v>
      </c>
      <c r="B24" s="2">
        <v>72</v>
      </c>
      <c r="C24" s="2">
        <v>84</v>
      </c>
      <c r="D24" s="2">
        <v>76</v>
      </c>
      <c r="E24" s="2">
        <v>72</v>
      </c>
      <c r="F24" s="2">
        <v>34.5</v>
      </c>
      <c r="G24" s="2">
        <f t="shared" si="8"/>
        <v>106.5</v>
      </c>
      <c r="H24" s="2">
        <f t="shared" si="9"/>
        <v>338.5</v>
      </c>
      <c r="I24" s="2">
        <v>60</v>
      </c>
      <c r="J24" s="2">
        <v>53</v>
      </c>
      <c r="K24" s="2">
        <v>68</v>
      </c>
      <c r="L24" s="2">
        <v>52</v>
      </c>
      <c r="M24" s="2">
        <v>20</v>
      </c>
      <c r="N24" s="2">
        <f t="shared" si="13"/>
        <v>72</v>
      </c>
      <c r="O24" s="2">
        <f t="shared" si="10"/>
        <v>253</v>
      </c>
      <c r="P24" s="2">
        <v>78</v>
      </c>
      <c r="Q24" s="2">
        <v>82</v>
      </c>
      <c r="R24" s="2">
        <v>72</v>
      </c>
      <c r="S24" s="2">
        <v>41</v>
      </c>
      <c r="T24" s="2">
        <v>37.5</v>
      </c>
      <c r="U24" s="2">
        <f t="shared" si="11"/>
        <v>78.5</v>
      </c>
      <c r="V24" s="2">
        <f t="shared" si="12"/>
        <v>310.5</v>
      </c>
      <c r="W24" s="2">
        <v>84</v>
      </c>
      <c r="X24" s="2">
        <v>85</v>
      </c>
      <c r="Y24" s="2">
        <v>62</v>
      </c>
      <c r="Z24" s="2">
        <v>80</v>
      </c>
      <c r="AA24" s="2">
        <v>37.5</v>
      </c>
      <c r="AB24" s="2">
        <f t="shared" si="6"/>
        <v>117.5</v>
      </c>
      <c r="AC24" s="2">
        <f t="shared" si="7"/>
        <v>348.5</v>
      </c>
    </row>
    <row r="25" spans="1:29" s="2" customFormat="1" ht="16.5" x14ac:dyDescent="0.25">
      <c r="A25" s="52" t="s">
        <v>118</v>
      </c>
      <c r="B25" s="2">
        <v>86</v>
      </c>
      <c r="C25" s="2">
        <v>86</v>
      </c>
      <c r="D25" s="2">
        <v>73</v>
      </c>
      <c r="E25" s="2">
        <v>91</v>
      </c>
      <c r="F25" s="2">
        <v>34.5</v>
      </c>
      <c r="G25" s="2">
        <f t="shared" si="8"/>
        <v>125.5</v>
      </c>
      <c r="H25" s="2">
        <f t="shared" si="9"/>
        <v>370.5</v>
      </c>
      <c r="I25" s="2">
        <v>74</v>
      </c>
      <c r="J25" s="2">
        <v>78</v>
      </c>
      <c r="K25" s="2">
        <v>80</v>
      </c>
      <c r="L25" s="2">
        <v>67</v>
      </c>
      <c r="M25" s="2">
        <v>21</v>
      </c>
      <c r="N25" s="2">
        <f t="shared" si="13"/>
        <v>88</v>
      </c>
      <c r="O25" s="2">
        <f t="shared" si="10"/>
        <v>320</v>
      </c>
      <c r="P25" s="2">
        <v>90</v>
      </c>
      <c r="Q25" s="2">
        <v>82</v>
      </c>
      <c r="R25" s="2">
        <v>88</v>
      </c>
      <c r="S25" s="2">
        <v>69</v>
      </c>
      <c r="T25" s="2">
        <v>42</v>
      </c>
      <c r="U25" s="2">
        <f t="shared" si="11"/>
        <v>111</v>
      </c>
      <c r="V25" s="2">
        <f t="shared" si="12"/>
        <v>371</v>
      </c>
      <c r="W25" s="2">
        <v>92</v>
      </c>
      <c r="X25" s="2">
        <v>93</v>
      </c>
      <c r="Y25" s="2">
        <v>82</v>
      </c>
      <c r="Z25" s="2">
        <v>81</v>
      </c>
      <c r="AA25" s="2">
        <v>42</v>
      </c>
      <c r="AB25" s="2">
        <f t="shared" si="6"/>
        <v>123</v>
      </c>
      <c r="AC25" s="2">
        <f t="shared" si="7"/>
        <v>390</v>
      </c>
    </row>
    <row r="26" spans="1:29" s="2" customFormat="1" ht="16.5" x14ac:dyDescent="0.25">
      <c r="A26" s="52" t="s">
        <v>119</v>
      </c>
      <c r="B26" s="2">
        <v>66</v>
      </c>
      <c r="C26" s="2">
        <v>50</v>
      </c>
      <c r="D26" s="2">
        <v>59</v>
      </c>
      <c r="E26" s="2">
        <v>69</v>
      </c>
      <c r="F26" s="2">
        <v>31.5</v>
      </c>
      <c r="G26" s="2">
        <f t="shared" si="8"/>
        <v>100.5</v>
      </c>
      <c r="H26" s="2">
        <f t="shared" si="9"/>
        <v>275.5</v>
      </c>
      <c r="I26" s="2">
        <v>72</v>
      </c>
      <c r="J26" s="2">
        <v>46</v>
      </c>
      <c r="K26" s="2">
        <v>66</v>
      </c>
      <c r="L26" s="2">
        <v>39</v>
      </c>
      <c r="M26" s="2">
        <v>25</v>
      </c>
      <c r="N26" s="2">
        <f t="shared" si="13"/>
        <v>64</v>
      </c>
      <c r="O26" s="2">
        <f t="shared" si="10"/>
        <v>248</v>
      </c>
      <c r="P26" s="2">
        <v>76</v>
      </c>
      <c r="Q26" s="2">
        <v>51</v>
      </c>
      <c r="R26" s="2">
        <v>76</v>
      </c>
      <c r="S26" s="2">
        <v>29</v>
      </c>
      <c r="T26" s="2">
        <v>34.5</v>
      </c>
      <c r="U26" s="2">
        <f t="shared" si="11"/>
        <v>63.5</v>
      </c>
      <c r="V26" s="2">
        <f t="shared" si="12"/>
        <v>266.5</v>
      </c>
      <c r="W26" s="2">
        <v>78</v>
      </c>
      <c r="X26" s="2">
        <v>59</v>
      </c>
      <c r="Y26" s="2">
        <v>60</v>
      </c>
      <c r="Z26" s="2">
        <v>47</v>
      </c>
      <c r="AA26" s="2">
        <v>39</v>
      </c>
      <c r="AB26" s="2">
        <f t="shared" si="6"/>
        <v>86</v>
      </c>
      <c r="AC26" s="2">
        <f t="shared" si="7"/>
        <v>283</v>
      </c>
    </row>
    <row r="27" spans="1:29" s="2" customFormat="1" ht="16.5" x14ac:dyDescent="0.4">
      <c r="A27" s="53" t="s">
        <v>120</v>
      </c>
      <c r="B27" s="2">
        <v>76</v>
      </c>
      <c r="C27" s="2">
        <v>79</v>
      </c>
      <c r="D27" s="2">
        <v>63</v>
      </c>
      <c r="E27" s="2">
        <v>91</v>
      </c>
      <c r="F27" s="2">
        <v>34.5</v>
      </c>
      <c r="G27" s="2">
        <f t="shared" si="8"/>
        <v>125.5</v>
      </c>
      <c r="H27" s="2">
        <f t="shared" si="9"/>
        <v>343.5</v>
      </c>
      <c r="I27" s="2">
        <v>72</v>
      </c>
      <c r="J27" s="2">
        <v>76</v>
      </c>
      <c r="K27" s="2">
        <v>88</v>
      </c>
      <c r="L27" s="2">
        <v>70</v>
      </c>
      <c r="M27" s="2">
        <v>27</v>
      </c>
      <c r="N27" s="2">
        <f t="shared" si="13"/>
        <v>97</v>
      </c>
      <c r="O27" s="2">
        <f t="shared" si="10"/>
        <v>333</v>
      </c>
      <c r="P27" s="2">
        <v>82</v>
      </c>
      <c r="Q27" s="2">
        <v>92</v>
      </c>
      <c r="R27" s="2">
        <v>92</v>
      </c>
      <c r="S27" s="2">
        <v>90</v>
      </c>
      <c r="T27" s="2">
        <v>40.5</v>
      </c>
      <c r="U27" s="2">
        <f t="shared" si="11"/>
        <v>130.5</v>
      </c>
      <c r="V27" s="2">
        <f t="shared" si="12"/>
        <v>396.5</v>
      </c>
      <c r="AC27" s="12"/>
    </row>
    <row r="28" spans="1:29" s="2" customFormat="1" ht="16.5" x14ac:dyDescent="0.4">
      <c r="A28" s="53" t="s">
        <v>121</v>
      </c>
      <c r="B28" s="2">
        <v>86</v>
      </c>
      <c r="C28" s="2">
        <v>76</v>
      </c>
      <c r="D28" s="2">
        <v>71</v>
      </c>
      <c r="E28" s="2">
        <v>80</v>
      </c>
      <c r="F28" s="2">
        <v>36</v>
      </c>
      <c r="G28" s="2">
        <f t="shared" si="8"/>
        <v>116</v>
      </c>
      <c r="H28" s="2">
        <f t="shared" si="9"/>
        <v>349</v>
      </c>
      <c r="I28" s="2">
        <v>74</v>
      </c>
      <c r="J28" s="2">
        <v>77</v>
      </c>
      <c r="K28" s="2">
        <v>82</v>
      </c>
      <c r="L28" s="2">
        <v>68</v>
      </c>
      <c r="M28" s="2">
        <v>26</v>
      </c>
      <c r="N28" s="2">
        <f t="shared" si="13"/>
        <v>94</v>
      </c>
      <c r="O28" s="2">
        <f t="shared" si="10"/>
        <v>327</v>
      </c>
      <c r="P28" s="2">
        <v>74</v>
      </c>
      <c r="Q28" s="2">
        <v>79</v>
      </c>
      <c r="R28" s="2">
        <v>84</v>
      </c>
      <c r="S28" s="2">
        <v>72</v>
      </c>
      <c r="T28" s="2">
        <v>39</v>
      </c>
      <c r="U28" s="2">
        <f t="shared" si="11"/>
        <v>111</v>
      </c>
      <c r="V28" s="2">
        <f t="shared" si="12"/>
        <v>348</v>
      </c>
      <c r="W28" s="2">
        <v>82</v>
      </c>
      <c r="X28" s="2">
        <v>64</v>
      </c>
      <c r="Y28" s="2">
        <v>76</v>
      </c>
      <c r="Z28" s="2">
        <v>62</v>
      </c>
      <c r="AA28" s="2">
        <v>30</v>
      </c>
      <c r="AB28" s="2">
        <f t="shared" si="6"/>
        <v>92</v>
      </c>
      <c r="AC28" s="2">
        <f t="shared" si="7"/>
        <v>314</v>
      </c>
    </row>
    <row r="29" spans="1:29" s="2" customFormat="1" ht="16.5" x14ac:dyDescent="0.4">
      <c r="A29" s="53" t="s">
        <v>122</v>
      </c>
      <c r="B29" s="2">
        <v>86</v>
      </c>
      <c r="C29" s="2">
        <v>61</v>
      </c>
      <c r="D29" s="2">
        <v>56</v>
      </c>
      <c r="E29" s="2">
        <v>83</v>
      </c>
      <c r="F29" s="2">
        <v>30</v>
      </c>
      <c r="G29" s="2">
        <f t="shared" si="8"/>
        <v>113</v>
      </c>
      <c r="H29" s="2">
        <f t="shared" si="9"/>
        <v>316</v>
      </c>
      <c r="I29" s="2">
        <v>86</v>
      </c>
      <c r="J29" s="2">
        <v>66</v>
      </c>
      <c r="K29" s="2">
        <v>82</v>
      </c>
      <c r="L29" s="2">
        <v>48</v>
      </c>
      <c r="M29" s="2">
        <v>19</v>
      </c>
      <c r="N29" s="2">
        <f t="shared" si="13"/>
        <v>67</v>
      </c>
      <c r="O29" s="2">
        <f t="shared" si="10"/>
        <v>301</v>
      </c>
      <c r="P29" s="2">
        <v>82</v>
      </c>
      <c r="Q29" s="2">
        <v>61</v>
      </c>
      <c r="R29" s="2">
        <v>86</v>
      </c>
      <c r="S29" s="2">
        <v>34</v>
      </c>
      <c r="T29" s="2">
        <v>36</v>
      </c>
      <c r="U29" s="2">
        <f t="shared" si="11"/>
        <v>70</v>
      </c>
      <c r="V29" s="2">
        <f t="shared" si="12"/>
        <v>299</v>
      </c>
      <c r="W29" s="2">
        <v>80</v>
      </c>
      <c r="X29" s="2">
        <v>69</v>
      </c>
      <c r="Y29" s="2">
        <v>64</v>
      </c>
      <c r="Z29" s="2">
        <v>66</v>
      </c>
      <c r="AA29" s="2">
        <v>37.5</v>
      </c>
      <c r="AB29" s="2">
        <f t="shared" si="6"/>
        <v>103.5</v>
      </c>
      <c r="AC29" s="2">
        <f t="shared" si="7"/>
        <v>316.5</v>
      </c>
    </row>
    <row r="30" spans="1:29" s="2" customFormat="1" ht="16.5" x14ac:dyDescent="0.25">
      <c r="A30" s="52" t="s">
        <v>123</v>
      </c>
      <c r="B30" s="2">
        <v>84</v>
      </c>
      <c r="C30" s="2">
        <v>86</v>
      </c>
      <c r="D30" s="2">
        <v>62</v>
      </c>
      <c r="E30" s="2">
        <v>91</v>
      </c>
      <c r="F30" s="2">
        <v>25.5</v>
      </c>
      <c r="G30" s="2">
        <f t="shared" si="8"/>
        <v>116.5</v>
      </c>
      <c r="H30" s="2">
        <f t="shared" si="9"/>
        <v>348.5</v>
      </c>
      <c r="I30" s="2">
        <v>74</v>
      </c>
      <c r="J30" s="2">
        <v>72</v>
      </c>
      <c r="K30" s="2">
        <v>74</v>
      </c>
      <c r="L30" s="2">
        <v>44</v>
      </c>
      <c r="M30" s="2">
        <v>27</v>
      </c>
      <c r="N30" s="2">
        <f t="shared" si="13"/>
        <v>71</v>
      </c>
      <c r="O30" s="2">
        <f t="shared" si="10"/>
        <v>291</v>
      </c>
      <c r="P30" s="2">
        <v>76</v>
      </c>
      <c r="Q30" s="2">
        <v>75</v>
      </c>
      <c r="R30" s="2">
        <v>68</v>
      </c>
      <c r="S30" s="2">
        <v>69</v>
      </c>
      <c r="T30" s="2">
        <v>40.5</v>
      </c>
      <c r="U30" s="2">
        <f t="shared" si="11"/>
        <v>109.5</v>
      </c>
      <c r="V30" s="2">
        <f t="shared" si="12"/>
        <v>328.5</v>
      </c>
      <c r="W30" s="2">
        <v>76</v>
      </c>
      <c r="X30" s="2">
        <v>75</v>
      </c>
      <c r="Y30" s="2">
        <v>56</v>
      </c>
      <c r="Z30" s="2">
        <v>65</v>
      </c>
      <c r="AA30" s="2">
        <v>34.5</v>
      </c>
      <c r="AB30" s="2">
        <f t="shared" si="6"/>
        <v>99.5</v>
      </c>
      <c r="AC30" s="2">
        <f t="shared" si="7"/>
        <v>306.5</v>
      </c>
    </row>
    <row r="31" spans="1:29" s="2" customFormat="1" ht="16.5" x14ac:dyDescent="0.25">
      <c r="A31" s="52" t="s">
        <v>124</v>
      </c>
      <c r="B31" s="2">
        <v>74</v>
      </c>
      <c r="C31" s="2">
        <v>89</v>
      </c>
      <c r="D31" s="2">
        <v>88</v>
      </c>
      <c r="E31" s="2">
        <v>102</v>
      </c>
      <c r="F31" s="2">
        <v>43.5</v>
      </c>
      <c r="G31" s="2">
        <f t="shared" si="8"/>
        <v>145.5</v>
      </c>
      <c r="H31" s="2">
        <f t="shared" si="9"/>
        <v>396.5</v>
      </c>
      <c r="I31" s="2">
        <v>82</v>
      </c>
      <c r="J31" s="2">
        <v>93</v>
      </c>
      <c r="K31" s="2">
        <v>86</v>
      </c>
      <c r="L31" s="2">
        <v>97</v>
      </c>
      <c r="M31" s="2">
        <v>23</v>
      </c>
      <c r="N31" s="2">
        <f t="shared" si="13"/>
        <v>120</v>
      </c>
      <c r="O31" s="2">
        <f t="shared" si="10"/>
        <v>381</v>
      </c>
      <c r="P31" s="12"/>
      <c r="Q31" s="12"/>
      <c r="R31" s="12"/>
      <c r="S31" s="12"/>
      <c r="T31" s="12"/>
      <c r="U31" s="12"/>
      <c r="V31" s="12"/>
      <c r="W31" s="2">
        <v>82</v>
      </c>
      <c r="X31" s="2">
        <v>88</v>
      </c>
      <c r="Y31" s="2">
        <v>72</v>
      </c>
      <c r="Z31" s="2">
        <v>77</v>
      </c>
      <c r="AA31" s="2">
        <v>37.5</v>
      </c>
      <c r="AB31" s="2">
        <f t="shared" si="6"/>
        <v>114.5</v>
      </c>
      <c r="AC31" s="2">
        <f t="shared" si="7"/>
        <v>356.5</v>
      </c>
    </row>
    <row r="32" spans="1:29" s="2" customFormat="1" ht="16.5" x14ac:dyDescent="0.25">
      <c r="A32" s="52" t="s">
        <v>125</v>
      </c>
      <c r="B32" s="2">
        <v>94</v>
      </c>
      <c r="C32" s="2">
        <v>96</v>
      </c>
      <c r="D32" s="2">
        <v>70</v>
      </c>
      <c r="E32" s="2">
        <v>94</v>
      </c>
      <c r="F32" s="2">
        <v>33</v>
      </c>
      <c r="G32" s="2">
        <f t="shared" si="8"/>
        <v>127</v>
      </c>
      <c r="H32" s="2">
        <f t="shared" si="9"/>
        <v>387</v>
      </c>
      <c r="I32" s="2">
        <v>82</v>
      </c>
      <c r="J32" s="2">
        <v>85</v>
      </c>
      <c r="K32" s="2">
        <v>62</v>
      </c>
      <c r="L32" s="2">
        <v>67</v>
      </c>
      <c r="M32" s="2">
        <v>22</v>
      </c>
      <c r="N32" s="2">
        <f t="shared" si="13"/>
        <v>89</v>
      </c>
      <c r="O32" s="2">
        <f t="shared" si="10"/>
        <v>318</v>
      </c>
      <c r="P32" s="2">
        <v>98</v>
      </c>
      <c r="Q32" s="2">
        <v>85</v>
      </c>
      <c r="R32" s="2">
        <v>88</v>
      </c>
      <c r="S32" s="2">
        <v>85</v>
      </c>
      <c r="T32" s="2">
        <v>42</v>
      </c>
      <c r="U32" s="2">
        <f t="shared" si="11"/>
        <v>127</v>
      </c>
      <c r="V32" s="2">
        <f t="shared" si="12"/>
        <v>398</v>
      </c>
      <c r="W32" s="2">
        <v>94</v>
      </c>
      <c r="X32" s="2">
        <v>89</v>
      </c>
      <c r="Y32" s="2">
        <v>80</v>
      </c>
      <c r="Z32" s="2">
        <v>87</v>
      </c>
      <c r="AA32" s="2">
        <v>40.5</v>
      </c>
      <c r="AB32" s="2">
        <f t="shared" si="6"/>
        <v>127.5</v>
      </c>
      <c r="AC32" s="2">
        <f t="shared" si="7"/>
        <v>390.5</v>
      </c>
    </row>
    <row r="33" spans="1:29" s="2" customFormat="1" ht="16.5" x14ac:dyDescent="0.25">
      <c r="A33" s="52" t="s">
        <v>126</v>
      </c>
      <c r="B33" s="2">
        <v>84</v>
      </c>
      <c r="C33" s="2">
        <v>89</v>
      </c>
      <c r="D33" s="2">
        <v>57</v>
      </c>
      <c r="E33" s="2">
        <v>86</v>
      </c>
      <c r="F33" s="2">
        <v>22.5</v>
      </c>
      <c r="G33" s="2">
        <f t="shared" si="8"/>
        <v>108.5</v>
      </c>
      <c r="H33" s="2">
        <f t="shared" si="9"/>
        <v>338.5</v>
      </c>
      <c r="I33" s="2">
        <v>70</v>
      </c>
      <c r="J33" s="2">
        <v>79</v>
      </c>
      <c r="K33" s="2">
        <v>64</v>
      </c>
      <c r="L33" s="2">
        <v>57</v>
      </c>
      <c r="M33" s="2">
        <v>18</v>
      </c>
      <c r="N33" s="2">
        <f t="shared" si="13"/>
        <v>75</v>
      </c>
      <c r="O33" s="2">
        <f t="shared" si="10"/>
        <v>288</v>
      </c>
      <c r="P33" s="2">
        <v>74</v>
      </c>
      <c r="Q33" s="2">
        <v>86</v>
      </c>
      <c r="R33" s="2">
        <v>68</v>
      </c>
      <c r="S33" s="2">
        <v>57</v>
      </c>
      <c r="T33" s="2">
        <v>28.5</v>
      </c>
      <c r="U33" s="2">
        <f t="shared" si="11"/>
        <v>85.5</v>
      </c>
      <c r="V33" s="2">
        <f t="shared" si="12"/>
        <v>313.5</v>
      </c>
      <c r="W33" s="2">
        <v>74</v>
      </c>
      <c r="X33" s="2">
        <v>75</v>
      </c>
      <c r="Y33" s="2">
        <v>52</v>
      </c>
      <c r="Z33" s="2">
        <v>70</v>
      </c>
      <c r="AA33" s="2">
        <v>22.5</v>
      </c>
      <c r="AB33" s="2">
        <f t="shared" si="6"/>
        <v>92.5</v>
      </c>
      <c r="AC33" s="2">
        <f t="shared" si="7"/>
        <v>293.5</v>
      </c>
    </row>
    <row r="34" spans="1:29" s="2" customFormat="1" ht="16.5" x14ac:dyDescent="0.25">
      <c r="A34" s="52" t="s">
        <v>127</v>
      </c>
      <c r="B34" s="2">
        <v>92</v>
      </c>
      <c r="C34" s="2">
        <v>92</v>
      </c>
      <c r="D34" s="2">
        <v>63</v>
      </c>
      <c r="E34" s="2">
        <v>91</v>
      </c>
      <c r="F34" s="2">
        <v>33</v>
      </c>
      <c r="G34" s="2">
        <f t="shared" si="8"/>
        <v>124</v>
      </c>
      <c r="H34" s="2">
        <f t="shared" si="9"/>
        <v>371</v>
      </c>
      <c r="I34" s="2">
        <v>80</v>
      </c>
      <c r="J34" s="2">
        <v>88</v>
      </c>
      <c r="K34" s="2">
        <v>62</v>
      </c>
      <c r="L34" s="2">
        <v>65</v>
      </c>
      <c r="M34" s="2">
        <v>25</v>
      </c>
      <c r="N34" s="2">
        <f t="shared" ref="N34:N42" si="14">L34+M34</f>
        <v>90</v>
      </c>
      <c r="O34" s="2">
        <f t="shared" si="10"/>
        <v>320</v>
      </c>
      <c r="P34" s="2">
        <v>94</v>
      </c>
      <c r="Q34" s="2">
        <v>89</v>
      </c>
      <c r="R34" s="2">
        <v>86</v>
      </c>
      <c r="S34" s="2">
        <v>59</v>
      </c>
      <c r="T34" s="2">
        <v>42</v>
      </c>
      <c r="U34" s="2">
        <f t="shared" si="11"/>
        <v>101</v>
      </c>
      <c r="V34" s="2">
        <f t="shared" si="12"/>
        <v>370</v>
      </c>
      <c r="W34" s="2">
        <v>86</v>
      </c>
      <c r="X34" s="2">
        <v>86</v>
      </c>
      <c r="Y34" s="2">
        <v>74</v>
      </c>
      <c r="Z34" s="2">
        <v>77</v>
      </c>
      <c r="AA34" s="2">
        <v>34.5</v>
      </c>
      <c r="AB34" s="2">
        <f t="shared" si="6"/>
        <v>111.5</v>
      </c>
      <c r="AC34" s="2">
        <f t="shared" si="7"/>
        <v>357.5</v>
      </c>
    </row>
    <row r="35" spans="1:29" s="2" customFormat="1" ht="16.5" x14ac:dyDescent="0.25">
      <c r="A35" s="52" t="s">
        <v>128</v>
      </c>
      <c r="B35" s="2">
        <v>68</v>
      </c>
      <c r="C35" s="2">
        <v>62</v>
      </c>
      <c r="D35" s="2">
        <v>51</v>
      </c>
      <c r="E35" s="2">
        <v>96</v>
      </c>
      <c r="F35" s="2">
        <v>31.5</v>
      </c>
      <c r="G35" s="2">
        <f t="shared" si="8"/>
        <v>127.5</v>
      </c>
      <c r="H35" s="2">
        <f t="shared" si="9"/>
        <v>308.5</v>
      </c>
      <c r="I35" s="2">
        <v>88</v>
      </c>
      <c r="J35" s="2">
        <v>65</v>
      </c>
      <c r="K35" s="2">
        <v>62</v>
      </c>
      <c r="L35" s="2">
        <v>65</v>
      </c>
      <c r="M35" s="2">
        <v>23</v>
      </c>
      <c r="N35" s="2">
        <f t="shared" si="14"/>
        <v>88</v>
      </c>
      <c r="O35" s="2">
        <f t="shared" si="10"/>
        <v>303</v>
      </c>
      <c r="P35" s="2">
        <v>74</v>
      </c>
      <c r="Q35" s="2">
        <v>58</v>
      </c>
      <c r="R35" s="2">
        <v>76</v>
      </c>
      <c r="S35" s="2">
        <v>48</v>
      </c>
      <c r="T35" s="2">
        <v>37.5</v>
      </c>
      <c r="U35" s="2">
        <f t="shared" si="11"/>
        <v>85.5</v>
      </c>
      <c r="V35" s="2">
        <f t="shared" si="12"/>
        <v>293.5</v>
      </c>
      <c r="W35" s="2">
        <v>84</v>
      </c>
      <c r="X35" s="2">
        <v>79</v>
      </c>
      <c r="Y35" s="2">
        <v>70</v>
      </c>
      <c r="Z35" s="2">
        <v>61</v>
      </c>
      <c r="AA35" s="2">
        <v>36</v>
      </c>
      <c r="AB35" s="2">
        <f t="shared" si="6"/>
        <v>97</v>
      </c>
      <c r="AC35" s="2">
        <f t="shared" si="7"/>
        <v>330</v>
      </c>
    </row>
    <row r="36" spans="1:29" s="2" customFormat="1" ht="16.5" x14ac:dyDescent="0.4">
      <c r="A36" s="53" t="s">
        <v>129</v>
      </c>
      <c r="B36" s="2">
        <v>66</v>
      </c>
      <c r="C36" s="2">
        <v>69</v>
      </c>
      <c r="D36" s="2">
        <v>68</v>
      </c>
      <c r="E36" s="2">
        <v>92</v>
      </c>
      <c r="F36" s="2">
        <v>33</v>
      </c>
      <c r="G36" s="2">
        <f t="shared" si="8"/>
        <v>125</v>
      </c>
      <c r="H36" s="2">
        <f t="shared" si="9"/>
        <v>328</v>
      </c>
      <c r="I36" s="2">
        <v>58</v>
      </c>
      <c r="J36" s="2">
        <v>78</v>
      </c>
      <c r="K36" s="2">
        <v>56</v>
      </c>
      <c r="L36" s="2">
        <v>59</v>
      </c>
      <c r="M36" s="2">
        <v>27</v>
      </c>
      <c r="N36" s="2">
        <f t="shared" si="14"/>
        <v>86</v>
      </c>
      <c r="O36" s="2">
        <f t="shared" si="10"/>
        <v>278</v>
      </c>
      <c r="P36" s="2">
        <v>68</v>
      </c>
      <c r="Q36" s="2">
        <v>63</v>
      </c>
      <c r="R36" s="2">
        <v>76</v>
      </c>
      <c r="S36" s="2">
        <v>44</v>
      </c>
      <c r="T36" s="2">
        <v>37.5</v>
      </c>
      <c r="U36" s="2">
        <f t="shared" si="11"/>
        <v>81.5</v>
      </c>
      <c r="V36" s="2">
        <f t="shared" si="12"/>
        <v>288.5</v>
      </c>
      <c r="W36" s="2">
        <v>62</v>
      </c>
      <c r="X36" s="2">
        <v>75</v>
      </c>
      <c r="Y36" s="2">
        <v>72</v>
      </c>
      <c r="Z36" s="2">
        <v>68</v>
      </c>
      <c r="AA36" s="2">
        <v>40.5</v>
      </c>
      <c r="AB36" s="2">
        <f t="shared" si="6"/>
        <v>108.5</v>
      </c>
      <c r="AC36" s="2">
        <f t="shared" si="7"/>
        <v>317.5</v>
      </c>
    </row>
    <row r="37" spans="1:29" s="2" customFormat="1" ht="16.5" x14ac:dyDescent="0.4">
      <c r="A37" s="53" t="s">
        <v>130</v>
      </c>
      <c r="B37" s="2">
        <v>76</v>
      </c>
      <c r="C37" s="2">
        <v>85</v>
      </c>
      <c r="D37" s="2">
        <v>78</v>
      </c>
      <c r="E37" s="2">
        <v>91</v>
      </c>
      <c r="F37" s="2">
        <v>34.5</v>
      </c>
      <c r="G37" s="2">
        <f t="shared" si="8"/>
        <v>125.5</v>
      </c>
      <c r="H37" s="2">
        <f t="shared" si="9"/>
        <v>364.5</v>
      </c>
      <c r="I37" s="2">
        <v>58</v>
      </c>
      <c r="J37" s="2">
        <v>87</v>
      </c>
      <c r="K37" s="2">
        <v>78</v>
      </c>
      <c r="L37" s="2">
        <v>80</v>
      </c>
      <c r="M37" s="2">
        <v>24</v>
      </c>
      <c r="N37" s="2">
        <f t="shared" si="14"/>
        <v>104</v>
      </c>
      <c r="O37" s="2">
        <f t="shared" si="10"/>
        <v>327</v>
      </c>
      <c r="P37" s="2">
        <v>72</v>
      </c>
      <c r="Q37" s="2">
        <v>75</v>
      </c>
      <c r="R37" s="2">
        <v>82</v>
      </c>
      <c r="S37" s="2">
        <v>80</v>
      </c>
      <c r="T37" s="2">
        <v>37.5</v>
      </c>
      <c r="U37" s="2">
        <f t="shared" si="11"/>
        <v>117.5</v>
      </c>
      <c r="V37" s="2">
        <f t="shared" si="12"/>
        <v>346.5</v>
      </c>
      <c r="W37" s="2">
        <v>80</v>
      </c>
      <c r="X37" s="2">
        <v>92</v>
      </c>
      <c r="Y37" s="2">
        <v>80</v>
      </c>
      <c r="Z37" s="2">
        <v>88</v>
      </c>
      <c r="AA37" s="2">
        <v>39</v>
      </c>
      <c r="AB37" s="2">
        <f t="shared" si="6"/>
        <v>127</v>
      </c>
      <c r="AC37" s="2">
        <f t="shared" si="7"/>
        <v>379</v>
      </c>
    </row>
    <row r="38" spans="1:29" s="2" customFormat="1" ht="16.5" x14ac:dyDescent="0.4">
      <c r="A38" s="53" t="s">
        <v>131</v>
      </c>
      <c r="B38" s="2">
        <v>70</v>
      </c>
      <c r="C38" s="2">
        <v>76</v>
      </c>
      <c r="D38" s="2">
        <v>73</v>
      </c>
      <c r="E38" s="2">
        <v>91</v>
      </c>
      <c r="F38" s="2">
        <v>31.5</v>
      </c>
      <c r="G38" s="2">
        <f t="shared" si="8"/>
        <v>122.5</v>
      </c>
      <c r="H38" s="2">
        <f t="shared" si="9"/>
        <v>341.5</v>
      </c>
      <c r="I38" s="2">
        <v>76</v>
      </c>
      <c r="J38" s="2">
        <v>89</v>
      </c>
      <c r="K38" s="2">
        <v>76</v>
      </c>
      <c r="L38" s="2">
        <v>40</v>
      </c>
      <c r="M38" s="2">
        <v>26</v>
      </c>
      <c r="N38" s="2">
        <f t="shared" si="14"/>
        <v>66</v>
      </c>
      <c r="O38" s="2">
        <f t="shared" si="10"/>
        <v>307</v>
      </c>
      <c r="P38" s="2">
        <v>80</v>
      </c>
      <c r="Q38" s="2">
        <v>60</v>
      </c>
      <c r="R38" s="2">
        <v>80</v>
      </c>
      <c r="S38" s="2">
        <v>42</v>
      </c>
      <c r="T38" s="2">
        <v>37.5</v>
      </c>
      <c r="U38" s="2">
        <f t="shared" si="11"/>
        <v>79.5</v>
      </c>
      <c r="V38" s="2">
        <f t="shared" si="12"/>
        <v>299.5</v>
      </c>
      <c r="W38" s="2">
        <v>84</v>
      </c>
      <c r="X38" s="2">
        <v>77</v>
      </c>
      <c r="Y38" s="2">
        <v>62</v>
      </c>
      <c r="Z38" s="2">
        <v>82</v>
      </c>
      <c r="AA38" s="2">
        <v>36</v>
      </c>
      <c r="AB38" s="2">
        <f t="shared" si="6"/>
        <v>118</v>
      </c>
      <c r="AC38" s="2">
        <f t="shared" si="7"/>
        <v>341</v>
      </c>
    </row>
    <row r="39" spans="1:29" s="2" customFormat="1" ht="16.5" x14ac:dyDescent="0.25">
      <c r="A39" s="52" t="s">
        <v>132</v>
      </c>
      <c r="B39" s="2">
        <v>94</v>
      </c>
      <c r="C39" s="2">
        <v>91</v>
      </c>
      <c r="D39" s="2">
        <v>85</v>
      </c>
      <c r="E39" s="2">
        <v>89</v>
      </c>
      <c r="F39" s="2">
        <v>36</v>
      </c>
      <c r="G39" s="2">
        <f t="shared" si="8"/>
        <v>125</v>
      </c>
      <c r="H39" s="2">
        <f t="shared" si="9"/>
        <v>395</v>
      </c>
      <c r="I39" s="2">
        <v>72</v>
      </c>
      <c r="J39" s="2">
        <v>87</v>
      </c>
      <c r="K39" s="2">
        <v>70</v>
      </c>
      <c r="L39" s="2">
        <v>82</v>
      </c>
      <c r="M39" s="2">
        <v>29</v>
      </c>
      <c r="N39" s="2">
        <f t="shared" si="14"/>
        <v>111</v>
      </c>
      <c r="O39" s="2">
        <f t="shared" si="10"/>
        <v>340</v>
      </c>
      <c r="P39" s="2">
        <v>90</v>
      </c>
      <c r="Q39" s="2">
        <v>80</v>
      </c>
      <c r="R39" s="2">
        <v>60</v>
      </c>
      <c r="S39" s="2">
        <v>70</v>
      </c>
      <c r="T39" s="2">
        <v>39</v>
      </c>
      <c r="U39" s="2">
        <f t="shared" si="11"/>
        <v>109</v>
      </c>
      <c r="V39" s="2">
        <f t="shared" si="12"/>
        <v>339</v>
      </c>
      <c r="W39" s="2">
        <v>86</v>
      </c>
      <c r="X39" s="2">
        <v>84</v>
      </c>
      <c r="Y39" s="2">
        <v>78</v>
      </c>
      <c r="Z39" s="2">
        <v>82</v>
      </c>
      <c r="AA39" s="2">
        <v>34.5</v>
      </c>
      <c r="AB39" s="2">
        <f t="shared" si="6"/>
        <v>116.5</v>
      </c>
      <c r="AC39" s="2">
        <f t="shared" si="7"/>
        <v>364.5</v>
      </c>
    </row>
    <row r="40" spans="1:29" s="2" customFormat="1" ht="16.5" x14ac:dyDescent="0.25">
      <c r="A40" s="52" t="s">
        <v>133</v>
      </c>
      <c r="B40" s="2">
        <v>70</v>
      </c>
      <c r="C40" s="2">
        <v>72</v>
      </c>
      <c r="D40" s="2">
        <v>66</v>
      </c>
      <c r="E40" s="2">
        <v>77</v>
      </c>
      <c r="F40" s="2">
        <v>33</v>
      </c>
      <c r="G40" s="2">
        <f t="shared" si="8"/>
        <v>110</v>
      </c>
      <c r="H40" s="2">
        <f t="shared" si="9"/>
        <v>318</v>
      </c>
      <c r="I40" s="2">
        <v>66</v>
      </c>
      <c r="J40" s="2">
        <v>50</v>
      </c>
      <c r="K40" s="2">
        <v>52</v>
      </c>
      <c r="L40" s="2">
        <v>38</v>
      </c>
      <c r="M40" s="2">
        <v>18</v>
      </c>
      <c r="N40" s="2">
        <f t="shared" si="14"/>
        <v>56</v>
      </c>
      <c r="O40" s="2">
        <f t="shared" si="10"/>
        <v>224</v>
      </c>
      <c r="P40" s="12"/>
      <c r="Q40" s="12"/>
      <c r="R40" s="12"/>
      <c r="S40" s="12"/>
      <c r="T40" s="12"/>
      <c r="U40" s="12"/>
      <c r="V40" s="12"/>
      <c r="W40" s="2">
        <v>60</v>
      </c>
      <c r="X40" s="2">
        <v>74</v>
      </c>
      <c r="Y40" s="2">
        <v>48</v>
      </c>
      <c r="Z40" s="2">
        <v>84</v>
      </c>
      <c r="AA40" s="2">
        <v>27</v>
      </c>
      <c r="AB40" s="2">
        <f t="shared" si="6"/>
        <v>111</v>
      </c>
      <c r="AC40" s="2">
        <f t="shared" si="7"/>
        <v>293</v>
      </c>
    </row>
    <row r="41" spans="1:29" s="2" customFormat="1" ht="16.5" x14ac:dyDescent="0.25">
      <c r="A41" s="52" t="s">
        <v>134</v>
      </c>
      <c r="B41" s="2">
        <v>68</v>
      </c>
      <c r="C41" s="2">
        <v>89</v>
      </c>
      <c r="D41" s="2">
        <v>43</v>
      </c>
      <c r="E41" s="2">
        <v>75</v>
      </c>
      <c r="F41" s="2">
        <v>27</v>
      </c>
      <c r="G41" s="2">
        <f t="shared" si="8"/>
        <v>102</v>
      </c>
      <c r="H41" s="2">
        <f t="shared" si="9"/>
        <v>302</v>
      </c>
      <c r="I41" s="2">
        <v>78</v>
      </c>
      <c r="J41" s="2">
        <v>83</v>
      </c>
      <c r="K41" s="2">
        <v>72</v>
      </c>
      <c r="L41" s="2">
        <v>56</v>
      </c>
      <c r="M41" s="2">
        <v>19</v>
      </c>
      <c r="N41" s="2">
        <f t="shared" si="14"/>
        <v>75</v>
      </c>
      <c r="O41" s="2">
        <f t="shared" si="10"/>
        <v>308</v>
      </c>
      <c r="P41" s="2">
        <v>78</v>
      </c>
      <c r="Q41" s="2">
        <v>75</v>
      </c>
      <c r="R41" s="2">
        <v>76</v>
      </c>
      <c r="S41" s="2">
        <v>81</v>
      </c>
      <c r="T41" s="2">
        <v>33</v>
      </c>
      <c r="U41" s="2">
        <f>T41+S41</f>
        <v>114</v>
      </c>
      <c r="V41" s="2">
        <f>U41+R41+Q41+P41</f>
        <v>343</v>
      </c>
      <c r="W41" s="2">
        <v>76</v>
      </c>
      <c r="X41" s="2">
        <v>94</v>
      </c>
      <c r="Y41" s="2">
        <v>70</v>
      </c>
      <c r="Z41" s="2">
        <v>66</v>
      </c>
      <c r="AA41" s="2">
        <v>37.5</v>
      </c>
      <c r="AB41" s="2">
        <f t="shared" si="6"/>
        <v>103.5</v>
      </c>
      <c r="AC41" s="2">
        <f t="shared" si="7"/>
        <v>343.5</v>
      </c>
    </row>
    <row r="42" spans="1:29" s="2" customFormat="1" ht="16.5" x14ac:dyDescent="0.25">
      <c r="A42" s="52" t="s">
        <v>135</v>
      </c>
      <c r="B42" s="2">
        <v>66</v>
      </c>
      <c r="C42" s="2">
        <v>71</v>
      </c>
      <c r="D42" s="2">
        <v>71</v>
      </c>
      <c r="E42" s="2">
        <v>77</v>
      </c>
      <c r="F42" s="2">
        <v>28.5</v>
      </c>
      <c r="G42" s="2">
        <f t="shared" si="8"/>
        <v>105.5</v>
      </c>
      <c r="H42" s="2">
        <f t="shared" si="9"/>
        <v>313.5</v>
      </c>
      <c r="I42" s="2">
        <v>72</v>
      </c>
      <c r="J42" s="2">
        <v>72</v>
      </c>
      <c r="K42" s="2">
        <v>58</v>
      </c>
      <c r="L42" s="2">
        <v>73</v>
      </c>
      <c r="M42" s="2">
        <v>17</v>
      </c>
      <c r="N42" s="2">
        <f t="shared" si="14"/>
        <v>90</v>
      </c>
      <c r="O42" s="2">
        <f t="shared" si="10"/>
        <v>292</v>
      </c>
      <c r="P42" s="2">
        <v>68</v>
      </c>
      <c r="Q42" s="2">
        <v>83</v>
      </c>
      <c r="R42" s="2">
        <v>58</v>
      </c>
      <c r="S42" s="2">
        <v>69</v>
      </c>
      <c r="T42" s="2">
        <v>27</v>
      </c>
      <c r="U42" s="2">
        <f>T42+S42</f>
        <v>96</v>
      </c>
      <c r="V42" s="2">
        <f>U42+R42+Q42+P42</f>
        <v>305</v>
      </c>
      <c r="W42" s="2">
        <v>68</v>
      </c>
      <c r="X42" s="2">
        <v>82</v>
      </c>
      <c r="Y42" s="2">
        <v>54</v>
      </c>
      <c r="Z42" s="2">
        <v>81</v>
      </c>
      <c r="AA42" s="2">
        <v>30</v>
      </c>
      <c r="AB42" s="2">
        <f t="shared" si="6"/>
        <v>111</v>
      </c>
      <c r="AC42" s="2">
        <f t="shared" si="7"/>
        <v>315</v>
      </c>
    </row>
    <row r="43" spans="1:29" s="2" customFormat="1" ht="16.5" x14ac:dyDescent="0.4">
      <c r="A43" s="53"/>
      <c r="B43" s="54">
        <f t="shared" ref="B43:H43" si="15">AVERAGEA(B3:B42)</f>
        <v>76.95</v>
      </c>
      <c r="C43" s="54">
        <f t="shared" si="15"/>
        <v>81.3</v>
      </c>
      <c r="D43" s="54">
        <f t="shared" si="15"/>
        <v>69.099999999999994</v>
      </c>
      <c r="E43" s="54">
        <f t="shared" si="15"/>
        <v>84.875</v>
      </c>
      <c r="F43" s="54">
        <f t="shared" si="15"/>
        <v>33.075000000000003</v>
      </c>
      <c r="G43" s="54">
        <f t="shared" si="15"/>
        <v>117.95</v>
      </c>
      <c r="H43" s="54">
        <f t="shared" si="15"/>
        <v>345.3</v>
      </c>
      <c r="I43" s="54">
        <f t="shared" ref="I43:N43" si="16">AVERAGEA(I3:I42)</f>
        <v>72.102564102564102</v>
      </c>
      <c r="J43" s="54">
        <f t="shared" si="16"/>
        <v>75.256410256410263</v>
      </c>
      <c r="K43" s="54">
        <f t="shared" si="16"/>
        <v>70.871794871794876</v>
      </c>
      <c r="L43" s="54">
        <f t="shared" si="16"/>
        <v>61.384615384615387</v>
      </c>
      <c r="M43" s="54">
        <f t="shared" si="16"/>
        <v>22.666666666666668</v>
      </c>
      <c r="N43" s="54">
        <f t="shared" si="16"/>
        <v>84.051282051282058</v>
      </c>
      <c r="O43" s="54">
        <f t="shared" si="10"/>
        <v>302.28205128205127</v>
      </c>
      <c r="P43" s="54">
        <f t="shared" ref="P43:U43" si="17">AVERAGEA(P3:P42)</f>
        <v>78.648648648648646</v>
      </c>
      <c r="Q43" s="54">
        <f t="shared" si="17"/>
        <v>75.594594594594597</v>
      </c>
      <c r="R43" s="54">
        <f t="shared" si="17"/>
        <v>77.729729729729726</v>
      </c>
      <c r="S43" s="54">
        <f t="shared" si="17"/>
        <v>61.702702702702702</v>
      </c>
      <c r="T43" s="54">
        <f t="shared" si="17"/>
        <v>35.675675675675677</v>
      </c>
      <c r="U43" s="54">
        <f t="shared" si="17"/>
        <v>97.378378378378372</v>
      </c>
      <c r="V43" s="54">
        <f>U43+R43+Q43+P43</f>
        <v>329.35135135135135</v>
      </c>
      <c r="W43" s="54">
        <f t="shared" ref="W43:AB43" si="18">AVERAGEA(W3:W42)</f>
        <v>80</v>
      </c>
      <c r="X43" s="54">
        <f t="shared" si="18"/>
        <v>79.641025641025635</v>
      </c>
      <c r="Y43" s="54">
        <f t="shared" si="18"/>
        <v>69.230769230769226</v>
      </c>
      <c r="Z43" s="54">
        <f t="shared" si="18"/>
        <v>74.282051282051285</v>
      </c>
      <c r="AA43" s="54">
        <f t="shared" si="18"/>
        <v>35.42307692307692</v>
      </c>
      <c r="AB43" s="54">
        <f t="shared" si="18"/>
        <v>109.7051282051282</v>
      </c>
      <c r="AC43" s="54">
        <f t="shared" si="7"/>
        <v>338.57692307692309</v>
      </c>
    </row>
    <row r="44" spans="1:29" x14ac:dyDescent="0.25">
      <c r="H44" s="2"/>
    </row>
  </sheetData>
  <sheetProtection formatCells="0" formatColumns="0" formatRows="0" insertColumns="0" insertRows="0" insertHyperlinks="0" deleteColumns="0" deleteRows="0" sort="0" autoFilter="0" pivotTables="0"/>
  <mergeCells count="4">
    <mergeCell ref="P1:V1"/>
    <mergeCell ref="W1:AC1"/>
    <mergeCell ref="B1:H1"/>
    <mergeCell ref="I1:O1"/>
  </mergeCells>
  <phoneticPr fontId="1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EB46"/>
  <sheetViews>
    <sheetView zoomScale="55" zoomScaleNormal="55" workbookViewId="0">
      <selection activeCell="Y2" activeCellId="3" sqref="D2 K2 R2 Y2"/>
    </sheetView>
  </sheetViews>
  <sheetFormatPr defaultColWidth="9.6328125" defaultRowHeight="14" x14ac:dyDescent="0.25"/>
  <cols>
    <col min="1" max="1" width="16.6328125" customWidth="1"/>
    <col min="2" max="22" width="9.6328125" customWidth="1"/>
    <col min="23" max="23" width="11.453125"/>
    <col min="24" max="28" width="12.6328125"/>
    <col min="16348" max="16348" width="10.81640625" customWidth="1"/>
  </cols>
  <sheetData>
    <row r="1" spans="1:49 16350:16356" ht="17.5" x14ac:dyDescent="0.25">
      <c r="A1" s="4"/>
      <c r="B1" s="93" t="s">
        <v>0</v>
      </c>
      <c r="C1" s="93"/>
      <c r="D1" s="93"/>
      <c r="E1" s="93"/>
      <c r="F1" s="93"/>
      <c r="G1" s="93"/>
      <c r="H1" s="93"/>
      <c r="I1" s="93" t="s">
        <v>1</v>
      </c>
      <c r="J1" s="93"/>
      <c r="K1" s="93"/>
      <c r="L1" s="93"/>
      <c r="M1" s="93"/>
      <c r="N1" s="93"/>
      <c r="O1" s="93"/>
      <c r="P1" s="93" t="s">
        <v>2</v>
      </c>
      <c r="Q1" s="93"/>
      <c r="R1" s="93"/>
      <c r="S1" s="93"/>
      <c r="T1" s="93"/>
      <c r="U1" s="93"/>
      <c r="V1" s="93"/>
      <c r="W1" s="93" t="s">
        <v>38</v>
      </c>
      <c r="X1" s="93"/>
      <c r="Y1" s="93"/>
      <c r="Z1" s="93"/>
      <c r="AA1" s="93"/>
      <c r="AB1" s="93"/>
      <c r="AC1" s="9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</row>
    <row r="2" spans="1:49 16350:16356" ht="17.5" x14ac:dyDescent="0.25">
      <c r="A2" s="19" t="s">
        <v>5</v>
      </c>
      <c r="B2" s="2" t="s">
        <v>3</v>
      </c>
      <c r="C2" s="2" t="s">
        <v>4</v>
      </c>
      <c r="D2" s="80" t="s">
        <v>531</v>
      </c>
      <c r="E2" s="2" t="s">
        <v>6</v>
      </c>
      <c r="F2" s="2" t="s">
        <v>7</v>
      </c>
      <c r="G2" s="2" t="s">
        <v>8</v>
      </c>
      <c r="H2" s="2" t="s">
        <v>9</v>
      </c>
      <c r="I2" s="42" t="s">
        <v>3</v>
      </c>
      <c r="J2" s="42" t="s">
        <v>4</v>
      </c>
      <c r="K2" s="80" t="s">
        <v>531</v>
      </c>
      <c r="L2" s="42" t="s">
        <v>6</v>
      </c>
      <c r="M2" s="23" t="s">
        <v>95</v>
      </c>
      <c r="N2" s="42" t="s">
        <v>8</v>
      </c>
      <c r="O2" s="42" t="s">
        <v>9</v>
      </c>
      <c r="P2" s="42" t="s">
        <v>3</v>
      </c>
      <c r="Q2" s="42" t="s">
        <v>4</v>
      </c>
      <c r="R2" s="80" t="s">
        <v>531</v>
      </c>
      <c r="S2" s="42" t="s">
        <v>6</v>
      </c>
      <c r="T2" s="23" t="s">
        <v>95</v>
      </c>
      <c r="U2" s="42" t="s">
        <v>8</v>
      </c>
      <c r="V2" s="42" t="s">
        <v>9</v>
      </c>
      <c r="W2" s="42" t="s">
        <v>3</v>
      </c>
      <c r="X2" s="42" t="s">
        <v>4</v>
      </c>
      <c r="Y2" s="80" t="s">
        <v>531</v>
      </c>
      <c r="Z2" s="42" t="s">
        <v>6</v>
      </c>
      <c r="AA2" s="23" t="s">
        <v>95</v>
      </c>
      <c r="AB2" s="42" t="s">
        <v>8</v>
      </c>
      <c r="AC2" s="42" t="s">
        <v>9</v>
      </c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</row>
    <row r="3" spans="1:49 16350:16356" x14ac:dyDescent="0.25">
      <c r="A3" s="45" t="s">
        <v>136</v>
      </c>
      <c r="B3" s="2">
        <v>90</v>
      </c>
      <c r="C3" s="2">
        <v>100</v>
      </c>
      <c r="D3" s="2">
        <v>70</v>
      </c>
      <c r="E3" s="2">
        <v>90</v>
      </c>
      <c r="F3" s="2">
        <v>37.5</v>
      </c>
      <c r="G3" s="2">
        <f t="shared" ref="G3:G20" si="0">SUM(E3:F3)</f>
        <v>127.5</v>
      </c>
      <c r="H3" s="2">
        <f t="shared" ref="H3:H20" si="1">SUM(B3:F3)</f>
        <v>387.5</v>
      </c>
      <c r="I3" s="2">
        <v>90</v>
      </c>
      <c r="J3" s="2">
        <v>98</v>
      </c>
      <c r="K3" s="2">
        <v>90</v>
      </c>
      <c r="L3" s="2">
        <v>95</v>
      </c>
      <c r="M3" s="2">
        <v>29</v>
      </c>
      <c r="N3" s="12">
        <f>SUM(L3:M3)</f>
        <v>124</v>
      </c>
      <c r="O3" s="2">
        <f t="shared" ref="O3:O19" si="2">SUM(I3:M3)</f>
        <v>402</v>
      </c>
      <c r="P3" s="24">
        <v>90</v>
      </c>
      <c r="Q3" s="2">
        <v>96</v>
      </c>
      <c r="R3" s="2">
        <v>96</v>
      </c>
      <c r="S3" s="2">
        <v>92</v>
      </c>
      <c r="T3" s="2">
        <v>34.5</v>
      </c>
      <c r="U3" s="2">
        <f>SUM(S3:T3)</f>
        <v>126.5</v>
      </c>
      <c r="V3" s="2">
        <f>SUM(P3:T3)</f>
        <v>408.5</v>
      </c>
      <c r="W3" s="2">
        <v>88</v>
      </c>
      <c r="X3" s="2">
        <v>95</v>
      </c>
      <c r="Y3" s="2">
        <v>90</v>
      </c>
      <c r="Z3" s="2">
        <v>83</v>
      </c>
      <c r="AA3" s="2">
        <v>42</v>
      </c>
      <c r="AB3" s="2">
        <f>SUM(Z3:AA3)</f>
        <v>125</v>
      </c>
      <c r="AC3" s="2">
        <f>SUM(W3:AA3)</f>
        <v>398</v>
      </c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XDV3" s="46"/>
    </row>
    <row r="4" spans="1:49 16350:16356" x14ac:dyDescent="0.25">
      <c r="A4" s="45" t="s">
        <v>137</v>
      </c>
      <c r="B4" s="2">
        <v>94</v>
      </c>
      <c r="C4" s="2">
        <v>98</v>
      </c>
      <c r="D4" s="2">
        <v>61</v>
      </c>
      <c r="E4" s="2">
        <v>84</v>
      </c>
      <c r="F4" s="2">
        <v>28.5</v>
      </c>
      <c r="G4" s="2">
        <f t="shared" si="0"/>
        <v>112.5</v>
      </c>
      <c r="H4" s="2">
        <f t="shared" si="1"/>
        <v>365.5</v>
      </c>
      <c r="I4" s="2">
        <v>84</v>
      </c>
      <c r="J4" s="2">
        <v>89</v>
      </c>
      <c r="K4" s="2">
        <v>80</v>
      </c>
      <c r="L4" s="2">
        <v>81</v>
      </c>
      <c r="M4" s="2">
        <v>29</v>
      </c>
      <c r="N4" s="12">
        <f t="shared" ref="N4:N19" si="3">SUM(L4:M4)</f>
        <v>110</v>
      </c>
      <c r="O4" s="2">
        <f t="shared" si="2"/>
        <v>363</v>
      </c>
      <c r="P4" s="24">
        <v>92</v>
      </c>
      <c r="Q4" s="2">
        <v>89</v>
      </c>
      <c r="R4" s="2">
        <v>86</v>
      </c>
      <c r="S4" s="2">
        <v>87</v>
      </c>
      <c r="T4" s="2">
        <v>37.5</v>
      </c>
      <c r="U4" s="2">
        <f t="shared" ref="U4:U45" si="4">SUM(S4:T4)</f>
        <v>124.5</v>
      </c>
      <c r="V4" s="2">
        <f t="shared" ref="V4:V46" si="5">SUM(P4:T4)</f>
        <v>391.5</v>
      </c>
      <c r="W4" s="2">
        <v>90</v>
      </c>
      <c r="X4" s="2">
        <v>93</v>
      </c>
      <c r="Y4" s="2">
        <v>74</v>
      </c>
      <c r="Z4" s="2">
        <v>87</v>
      </c>
      <c r="AA4" s="2">
        <v>36</v>
      </c>
      <c r="AB4" s="2">
        <f t="shared" ref="AB4:AB46" si="6">SUM(Z4:AA4)</f>
        <v>123</v>
      </c>
      <c r="AC4" s="2">
        <f t="shared" ref="AC4:AC46" si="7">SUM(W4:AA4)</f>
        <v>380</v>
      </c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</row>
    <row r="5" spans="1:49 16350:16356" x14ac:dyDescent="0.25">
      <c r="A5" s="45" t="s">
        <v>138</v>
      </c>
      <c r="B5" s="2">
        <v>68</v>
      </c>
      <c r="C5" s="2">
        <v>73</v>
      </c>
      <c r="D5" s="2">
        <v>62</v>
      </c>
      <c r="E5" s="2">
        <v>81</v>
      </c>
      <c r="F5" s="2">
        <v>28.5</v>
      </c>
      <c r="G5" s="2">
        <f t="shared" si="0"/>
        <v>109.5</v>
      </c>
      <c r="H5" s="2">
        <f t="shared" si="1"/>
        <v>312.5</v>
      </c>
      <c r="I5" s="2">
        <v>58</v>
      </c>
      <c r="J5" s="2">
        <v>83</v>
      </c>
      <c r="K5" s="2">
        <v>76</v>
      </c>
      <c r="L5" s="2">
        <v>50</v>
      </c>
      <c r="M5" s="2">
        <v>24</v>
      </c>
      <c r="N5" s="12">
        <f t="shared" si="3"/>
        <v>74</v>
      </c>
      <c r="O5" s="2">
        <f t="shared" si="2"/>
        <v>291</v>
      </c>
      <c r="P5" s="24">
        <v>76</v>
      </c>
      <c r="Q5" s="2">
        <v>68</v>
      </c>
      <c r="R5" s="2">
        <v>92</v>
      </c>
      <c r="S5" s="2">
        <v>64</v>
      </c>
      <c r="T5" s="2">
        <v>36</v>
      </c>
      <c r="U5" s="2">
        <f t="shared" si="4"/>
        <v>100</v>
      </c>
      <c r="V5" s="2">
        <f t="shared" si="5"/>
        <v>336</v>
      </c>
      <c r="W5" s="2">
        <v>70</v>
      </c>
      <c r="X5" s="2">
        <v>75</v>
      </c>
      <c r="Y5" s="2">
        <v>72</v>
      </c>
      <c r="Z5" s="2">
        <v>72</v>
      </c>
      <c r="AA5" s="2">
        <v>24</v>
      </c>
      <c r="AB5" s="2">
        <f t="shared" si="6"/>
        <v>96</v>
      </c>
      <c r="AC5" s="2">
        <f t="shared" si="7"/>
        <v>313</v>
      </c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XEB5" s="26"/>
    </row>
    <row r="6" spans="1:49 16350:16356" x14ac:dyDescent="0.25">
      <c r="A6" s="45" t="s">
        <v>139</v>
      </c>
      <c r="B6" s="2">
        <v>86</v>
      </c>
      <c r="C6" s="2">
        <v>89</v>
      </c>
      <c r="D6" s="2">
        <v>69</v>
      </c>
      <c r="E6" s="2">
        <v>92</v>
      </c>
      <c r="F6" s="2">
        <v>42</v>
      </c>
      <c r="G6" s="2">
        <f t="shared" si="0"/>
        <v>134</v>
      </c>
      <c r="H6" s="2">
        <f t="shared" si="1"/>
        <v>378</v>
      </c>
      <c r="I6" s="2">
        <v>78</v>
      </c>
      <c r="J6" s="2">
        <v>91</v>
      </c>
      <c r="K6" s="2">
        <v>76</v>
      </c>
      <c r="L6" s="2">
        <v>64</v>
      </c>
      <c r="M6" s="2">
        <v>28</v>
      </c>
      <c r="N6" s="12">
        <f t="shared" si="3"/>
        <v>92</v>
      </c>
      <c r="O6" s="2">
        <f t="shared" si="2"/>
        <v>337</v>
      </c>
      <c r="P6" s="24">
        <v>82</v>
      </c>
      <c r="Q6" s="2">
        <v>97</v>
      </c>
      <c r="R6" s="2">
        <v>84</v>
      </c>
      <c r="S6" s="2">
        <v>68</v>
      </c>
      <c r="T6" s="2">
        <v>39</v>
      </c>
      <c r="U6" s="2">
        <f t="shared" si="4"/>
        <v>107</v>
      </c>
      <c r="V6" s="2">
        <f t="shared" si="5"/>
        <v>370</v>
      </c>
      <c r="W6" s="12"/>
      <c r="X6" s="12"/>
      <c r="Y6" s="12"/>
      <c r="Z6" s="12"/>
      <c r="AA6" s="12"/>
      <c r="AB6" s="2">
        <f t="shared" si="6"/>
        <v>0</v>
      </c>
      <c r="AC6" s="2">
        <f t="shared" si="7"/>
        <v>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49 16350:16356" x14ac:dyDescent="0.25">
      <c r="A7" s="45" t="s">
        <v>140</v>
      </c>
      <c r="B7" s="2">
        <v>88</v>
      </c>
      <c r="C7" s="2">
        <v>99</v>
      </c>
      <c r="D7" s="2">
        <v>78</v>
      </c>
      <c r="E7" s="2">
        <v>100</v>
      </c>
      <c r="F7" s="2">
        <v>34</v>
      </c>
      <c r="G7" s="2">
        <f t="shared" si="0"/>
        <v>134</v>
      </c>
      <c r="H7" s="2">
        <f t="shared" si="1"/>
        <v>399</v>
      </c>
      <c r="I7" s="2">
        <v>78</v>
      </c>
      <c r="J7" s="2">
        <v>94</v>
      </c>
      <c r="K7" s="2">
        <v>82</v>
      </c>
      <c r="L7" s="2">
        <v>94</v>
      </c>
      <c r="M7" s="2">
        <v>27</v>
      </c>
      <c r="N7" s="12">
        <f t="shared" si="3"/>
        <v>121</v>
      </c>
      <c r="O7" s="2">
        <f t="shared" si="2"/>
        <v>375</v>
      </c>
      <c r="P7" s="24">
        <v>92</v>
      </c>
      <c r="Q7" s="2">
        <v>94</v>
      </c>
      <c r="R7" s="2">
        <v>84</v>
      </c>
      <c r="S7" s="2">
        <v>83</v>
      </c>
      <c r="T7" s="2">
        <v>33</v>
      </c>
      <c r="U7" s="2">
        <f t="shared" si="4"/>
        <v>116</v>
      </c>
      <c r="V7" s="2">
        <f t="shared" si="5"/>
        <v>386</v>
      </c>
      <c r="W7" s="2">
        <v>88</v>
      </c>
      <c r="X7" s="2">
        <v>99</v>
      </c>
      <c r="Y7" s="2">
        <v>66</v>
      </c>
      <c r="Z7" s="2">
        <v>92</v>
      </c>
      <c r="AA7" s="2">
        <v>40.5</v>
      </c>
      <c r="AB7" s="2">
        <f t="shared" si="6"/>
        <v>132.5</v>
      </c>
      <c r="AC7" s="2">
        <f t="shared" si="7"/>
        <v>385.5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</row>
    <row r="8" spans="1:49 16350:16356" x14ac:dyDescent="0.25">
      <c r="A8" s="45" t="s">
        <v>141</v>
      </c>
      <c r="B8" s="2">
        <v>92</v>
      </c>
      <c r="C8" s="2">
        <v>95</v>
      </c>
      <c r="D8" s="2">
        <v>78</v>
      </c>
      <c r="E8" s="2">
        <v>100</v>
      </c>
      <c r="F8" s="2">
        <v>36</v>
      </c>
      <c r="G8" s="2">
        <f t="shared" si="0"/>
        <v>136</v>
      </c>
      <c r="H8" s="2">
        <f t="shared" si="1"/>
        <v>401</v>
      </c>
      <c r="I8" s="2">
        <v>78</v>
      </c>
      <c r="J8" s="2">
        <v>97</v>
      </c>
      <c r="K8" s="2">
        <v>82</v>
      </c>
      <c r="L8" s="2">
        <v>94</v>
      </c>
      <c r="M8" s="2">
        <v>26</v>
      </c>
      <c r="N8" s="12">
        <f t="shared" si="3"/>
        <v>120</v>
      </c>
      <c r="O8" s="2">
        <f t="shared" si="2"/>
        <v>377</v>
      </c>
      <c r="P8" s="24">
        <v>94</v>
      </c>
      <c r="Q8" s="2">
        <v>89</v>
      </c>
      <c r="R8" s="2">
        <v>84</v>
      </c>
      <c r="S8" s="2">
        <v>81</v>
      </c>
      <c r="T8" s="2">
        <v>36</v>
      </c>
      <c r="U8" s="2">
        <f t="shared" si="4"/>
        <v>117</v>
      </c>
      <c r="V8" s="2">
        <f t="shared" si="5"/>
        <v>384</v>
      </c>
      <c r="W8" s="2">
        <v>88</v>
      </c>
      <c r="X8" s="2">
        <v>99</v>
      </c>
      <c r="Y8" s="2">
        <v>66</v>
      </c>
      <c r="Z8" s="2">
        <v>92</v>
      </c>
      <c r="AA8" s="2">
        <v>39</v>
      </c>
      <c r="AB8" s="2">
        <f t="shared" si="6"/>
        <v>131</v>
      </c>
      <c r="AC8" s="2">
        <f t="shared" si="7"/>
        <v>384</v>
      </c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</row>
    <row r="9" spans="1:49 16350:16356" x14ac:dyDescent="0.25">
      <c r="A9" s="45" t="s">
        <v>142</v>
      </c>
      <c r="B9" s="2">
        <v>84</v>
      </c>
      <c r="C9" s="2">
        <v>99</v>
      </c>
      <c r="D9" s="2">
        <v>83</v>
      </c>
      <c r="E9" s="2">
        <v>100</v>
      </c>
      <c r="F9" s="2">
        <v>37.5</v>
      </c>
      <c r="G9" s="2">
        <f t="shared" si="0"/>
        <v>137.5</v>
      </c>
      <c r="H9" s="2">
        <f t="shared" si="1"/>
        <v>403.5</v>
      </c>
      <c r="I9" s="2">
        <v>82</v>
      </c>
      <c r="J9" s="2">
        <v>97</v>
      </c>
      <c r="K9" s="2">
        <v>82</v>
      </c>
      <c r="L9" s="2">
        <v>85</v>
      </c>
      <c r="M9" s="2">
        <v>25</v>
      </c>
      <c r="N9" s="12">
        <f t="shared" si="3"/>
        <v>110</v>
      </c>
      <c r="O9" s="2">
        <f t="shared" si="2"/>
        <v>371</v>
      </c>
      <c r="P9" s="24">
        <v>86</v>
      </c>
      <c r="Q9" s="2">
        <v>95</v>
      </c>
      <c r="R9" s="2">
        <v>86</v>
      </c>
      <c r="S9" s="2">
        <v>77</v>
      </c>
      <c r="T9" s="2">
        <v>37</v>
      </c>
      <c r="U9" s="2">
        <f t="shared" si="4"/>
        <v>114</v>
      </c>
      <c r="V9" s="2">
        <f t="shared" si="5"/>
        <v>381</v>
      </c>
      <c r="W9" s="2">
        <v>92</v>
      </c>
      <c r="X9" s="2">
        <v>96</v>
      </c>
      <c r="Y9" s="2">
        <v>84</v>
      </c>
      <c r="Z9" s="2">
        <v>87</v>
      </c>
      <c r="AA9" s="2">
        <v>33</v>
      </c>
      <c r="AB9" s="2">
        <f t="shared" si="6"/>
        <v>120</v>
      </c>
      <c r="AC9" s="2">
        <f t="shared" si="7"/>
        <v>392</v>
      </c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</row>
    <row r="10" spans="1:49 16350:16356" x14ac:dyDescent="0.25">
      <c r="A10" s="45" t="s">
        <v>143</v>
      </c>
      <c r="B10" s="2">
        <v>90</v>
      </c>
      <c r="C10" s="2">
        <v>67</v>
      </c>
      <c r="D10" s="2">
        <v>55</v>
      </c>
      <c r="E10" s="2">
        <v>94</v>
      </c>
      <c r="F10" s="2">
        <v>39</v>
      </c>
      <c r="G10" s="2">
        <f t="shared" si="0"/>
        <v>133</v>
      </c>
      <c r="H10" s="2">
        <f t="shared" si="1"/>
        <v>345</v>
      </c>
      <c r="I10" s="2">
        <v>76</v>
      </c>
      <c r="J10" s="2">
        <v>85</v>
      </c>
      <c r="K10" s="2">
        <v>80</v>
      </c>
      <c r="L10" s="2">
        <v>66</v>
      </c>
      <c r="M10" s="2">
        <v>28</v>
      </c>
      <c r="N10" s="12">
        <f t="shared" si="3"/>
        <v>94</v>
      </c>
      <c r="O10" s="2">
        <f t="shared" si="2"/>
        <v>335</v>
      </c>
      <c r="P10" s="24">
        <v>84</v>
      </c>
      <c r="Q10" s="2">
        <v>84</v>
      </c>
      <c r="R10" s="2">
        <v>84</v>
      </c>
      <c r="S10" s="2">
        <v>59</v>
      </c>
      <c r="T10" s="2">
        <v>37.5</v>
      </c>
      <c r="U10" s="2">
        <f t="shared" si="4"/>
        <v>96.5</v>
      </c>
      <c r="V10" s="2">
        <f t="shared" si="5"/>
        <v>348.5</v>
      </c>
      <c r="W10" s="12"/>
      <c r="X10" s="12"/>
      <c r="Y10" s="12"/>
      <c r="Z10" s="12"/>
      <c r="AA10" s="12"/>
      <c r="AB10" s="2">
        <f t="shared" si="6"/>
        <v>0</v>
      </c>
      <c r="AC10" s="2">
        <f t="shared" si="7"/>
        <v>0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</row>
    <row r="11" spans="1:49 16350:16356" x14ac:dyDescent="0.25">
      <c r="A11" s="45" t="s">
        <v>144</v>
      </c>
      <c r="B11" s="2">
        <v>68</v>
      </c>
      <c r="C11" s="2">
        <v>84</v>
      </c>
      <c r="D11" s="2">
        <v>72</v>
      </c>
      <c r="E11" s="2">
        <v>76</v>
      </c>
      <c r="F11" s="2">
        <v>31.5</v>
      </c>
      <c r="G11" s="2">
        <f t="shared" si="0"/>
        <v>107.5</v>
      </c>
      <c r="H11" s="2">
        <f t="shared" si="1"/>
        <v>331.5</v>
      </c>
      <c r="I11" s="2">
        <v>66</v>
      </c>
      <c r="J11" s="2">
        <v>79</v>
      </c>
      <c r="K11" s="2">
        <v>82</v>
      </c>
      <c r="L11" s="2">
        <v>74</v>
      </c>
      <c r="M11" s="2">
        <v>21</v>
      </c>
      <c r="N11" s="12">
        <f t="shared" si="3"/>
        <v>95</v>
      </c>
      <c r="O11" s="2">
        <f t="shared" si="2"/>
        <v>322</v>
      </c>
      <c r="P11" s="24">
        <v>86</v>
      </c>
      <c r="Q11" s="2">
        <v>65</v>
      </c>
      <c r="R11" s="2">
        <v>80</v>
      </c>
      <c r="S11" s="2">
        <v>67</v>
      </c>
      <c r="T11" s="2">
        <v>34.5</v>
      </c>
      <c r="U11" s="2">
        <f t="shared" si="4"/>
        <v>101.5</v>
      </c>
      <c r="V11" s="2">
        <f t="shared" si="5"/>
        <v>332.5</v>
      </c>
      <c r="W11" s="2">
        <v>72</v>
      </c>
      <c r="X11" s="2">
        <v>59</v>
      </c>
      <c r="Y11" s="2">
        <v>72</v>
      </c>
      <c r="Z11" s="2">
        <v>79</v>
      </c>
      <c r="AA11" s="2">
        <v>33</v>
      </c>
      <c r="AB11" s="2">
        <f t="shared" si="6"/>
        <v>112</v>
      </c>
      <c r="AC11" s="2">
        <f t="shared" si="7"/>
        <v>315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49 16350:16356" x14ac:dyDescent="0.25">
      <c r="A12" s="45" t="s">
        <v>145</v>
      </c>
      <c r="B12" s="2">
        <v>80</v>
      </c>
      <c r="C12" s="2">
        <v>84</v>
      </c>
      <c r="D12" s="2">
        <v>76</v>
      </c>
      <c r="E12" s="2">
        <v>73</v>
      </c>
      <c r="F12" s="2">
        <v>30</v>
      </c>
      <c r="G12" s="2">
        <f t="shared" si="0"/>
        <v>103</v>
      </c>
      <c r="H12" s="2">
        <f t="shared" si="1"/>
        <v>343</v>
      </c>
      <c r="I12" s="2">
        <v>68</v>
      </c>
      <c r="J12" s="2">
        <v>86</v>
      </c>
      <c r="K12" s="2">
        <v>78</v>
      </c>
      <c r="L12" s="2">
        <v>44</v>
      </c>
      <c r="M12" s="2">
        <v>23</v>
      </c>
      <c r="N12" s="12">
        <f t="shared" si="3"/>
        <v>67</v>
      </c>
      <c r="O12" s="2">
        <f t="shared" si="2"/>
        <v>299</v>
      </c>
      <c r="P12" s="24">
        <v>76</v>
      </c>
      <c r="Q12" s="2">
        <v>56</v>
      </c>
      <c r="R12" s="2">
        <v>82</v>
      </c>
      <c r="S12" s="2">
        <v>60</v>
      </c>
      <c r="T12" s="2">
        <v>25.5</v>
      </c>
      <c r="U12" s="2">
        <f t="shared" si="4"/>
        <v>85.5</v>
      </c>
      <c r="V12" s="2">
        <f t="shared" si="5"/>
        <v>299.5</v>
      </c>
      <c r="W12" s="2">
        <v>80</v>
      </c>
      <c r="X12" s="2">
        <v>71</v>
      </c>
      <c r="Y12" s="2">
        <v>60</v>
      </c>
      <c r="Z12" s="2">
        <v>72</v>
      </c>
      <c r="AA12" s="2">
        <v>30</v>
      </c>
      <c r="AB12" s="2">
        <f t="shared" si="6"/>
        <v>102</v>
      </c>
      <c r="AC12" s="2">
        <f t="shared" si="7"/>
        <v>313</v>
      </c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 spans="1:49 16350:16356" x14ac:dyDescent="0.25">
      <c r="A13" s="45" t="s">
        <v>146</v>
      </c>
      <c r="B13" s="2">
        <v>60</v>
      </c>
      <c r="C13" s="2">
        <v>75</v>
      </c>
      <c r="D13" s="2">
        <v>58</v>
      </c>
      <c r="E13" s="2">
        <v>54</v>
      </c>
      <c r="F13" s="2">
        <v>31.5</v>
      </c>
      <c r="G13" s="2">
        <f t="shared" si="0"/>
        <v>85.5</v>
      </c>
      <c r="H13" s="2">
        <f t="shared" si="1"/>
        <v>278.5</v>
      </c>
      <c r="I13" s="2">
        <v>60</v>
      </c>
      <c r="J13" s="2">
        <v>68</v>
      </c>
      <c r="K13" s="2">
        <v>72</v>
      </c>
      <c r="L13" s="2">
        <v>50</v>
      </c>
      <c r="M13" s="2">
        <v>17</v>
      </c>
      <c r="N13" s="12">
        <f t="shared" si="3"/>
        <v>67</v>
      </c>
      <c r="O13" s="2">
        <f t="shared" si="2"/>
        <v>267</v>
      </c>
      <c r="P13" s="24">
        <v>80</v>
      </c>
      <c r="Q13" s="2">
        <v>71</v>
      </c>
      <c r="R13" s="2">
        <v>78</v>
      </c>
      <c r="S13" s="2">
        <v>50</v>
      </c>
      <c r="T13" s="2">
        <v>30</v>
      </c>
      <c r="U13" s="2">
        <f t="shared" si="4"/>
        <v>80</v>
      </c>
      <c r="V13" s="2">
        <f t="shared" si="5"/>
        <v>309</v>
      </c>
      <c r="W13" s="2">
        <v>72</v>
      </c>
      <c r="X13" s="2">
        <v>71</v>
      </c>
      <c r="Y13" s="2">
        <v>62</v>
      </c>
      <c r="Z13" s="2">
        <v>54</v>
      </c>
      <c r="AA13" s="2">
        <v>30</v>
      </c>
      <c r="AB13" s="2">
        <f t="shared" si="6"/>
        <v>84</v>
      </c>
      <c r="AC13" s="2">
        <f t="shared" si="7"/>
        <v>289</v>
      </c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</row>
    <row r="14" spans="1:49 16350:16356" x14ac:dyDescent="0.25">
      <c r="A14" s="45" t="s">
        <v>147</v>
      </c>
      <c r="B14" s="2">
        <v>66</v>
      </c>
      <c r="C14" s="2">
        <v>86</v>
      </c>
      <c r="D14" s="2">
        <v>49</v>
      </c>
      <c r="E14" s="2">
        <v>80</v>
      </c>
      <c r="F14" s="2">
        <v>30</v>
      </c>
      <c r="G14" s="2">
        <f t="shared" si="0"/>
        <v>110</v>
      </c>
      <c r="H14" s="2">
        <f t="shared" si="1"/>
        <v>311</v>
      </c>
      <c r="I14" s="2">
        <v>58</v>
      </c>
      <c r="J14" s="2">
        <v>91</v>
      </c>
      <c r="K14" s="2">
        <v>56</v>
      </c>
      <c r="L14" s="2">
        <v>46</v>
      </c>
      <c r="M14" s="2">
        <v>16</v>
      </c>
      <c r="N14" s="12">
        <f t="shared" si="3"/>
        <v>62</v>
      </c>
      <c r="O14" s="2">
        <f t="shared" si="2"/>
        <v>267</v>
      </c>
      <c r="P14" s="24">
        <v>74</v>
      </c>
      <c r="Q14" s="2">
        <v>71</v>
      </c>
      <c r="R14" s="2">
        <v>80</v>
      </c>
      <c r="S14" s="2">
        <v>50</v>
      </c>
      <c r="T14" s="2">
        <v>30</v>
      </c>
      <c r="U14" s="2">
        <f t="shared" si="4"/>
        <v>80</v>
      </c>
      <c r="V14" s="2">
        <f t="shared" si="5"/>
        <v>305</v>
      </c>
      <c r="W14" s="2">
        <v>70</v>
      </c>
      <c r="X14" s="2">
        <v>69</v>
      </c>
      <c r="Y14" s="2">
        <v>62</v>
      </c>
      <c r="Z14" s="2">
        <v>62</v>
      </c>
      <c r="AA14" s="2">
        <v>34.5</v>
      </c>
      <c r="AB14" s="2">
        <f t="shared" si="6"/>
        <v>96.5</v>
      </c>
      <c r="AC14" s="2">
        <f t="shared" si="7"/>
        <v>297.5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49 16350:16356" x14ac:dyDescent="0.25">
      <c r="A15" s="45" t="s">
        <v>148</v>
      </c>
      <c r="B15" s="2">
        <v>74</v>
      </c>
      <c r="C15" s="2">
        <v>89</v>
      </c>
      <c r="D15" s="2">
        <v>58</v>
      </c>
      <c r="E15" s="2">
        <v>83</v>
      </c>
      <c r="F15" s="2">
        <v>31.5</v>
      </c>
      <c r="G15" s="2">
        <f t="shared" si="0"/>
        <v>114.5</v>
      </c>
      <c r="H15" s="2">
        <f t="shared" si="1"/>
        <v>335.5</v>
      </c>
      <c r="I15" s="2">
        <v>78</v>
      </c>
      <c r="J15" s="2">
        <v>81</v>
      </c>
      <c r="K15" s="2">
        <v>74</v>
      </c>
      <c r="L15" s="2">
        <v>57</v>
      </c>
      <c r="M15" s="2">
        <v>17</v>
      </c>
      <c r="N15" s="12">
        <f t="shared" si="3"/>
        <v>74</v>
      </c>
      <c r="O15" s="2">
        <f t="shared" si="2"/>
        <v>307</v>
      </c>
      <c r="P15" s="24">
        <v>84</v>
      </c>
      <c r="Q15" s="2">
        <v>85</v>
      </c>
      <c r="R15" s="2">
        <v>76</v>
      </c>
      <c r="S15" s="2">
        <v>59</v>
      </c>
      <c r="T15" s="2">
        <v>25.5</v>
      </c>
      <c r="U15" s="2">
        <f t="shared" si="4"/>
        <v>84.5</v>
      </c>
      <c r="V15" s="2">
        <f t="shared" si="5"/>
        <v>329.5</v>
      </c>
      <c r="W15" s="2">
        <v>90</v>
      </c>
      <c r="X15" s="2">
        <v>62</v>
      </c>
      <c r="Y15" s="2">
        <v>58</v>
      </c>
      <c r="Z15" s="2">
        <v>61</v>
      </c>
      <c r="AA15" s="2">
        <v>37.5</v>
      </c>
      <c r="AB15" s="2">
        <f t="shared" si="6"/>
        <v>98.5</v>
      </c>
      <c r="AC15" s="2">
        <f t="shared" si="7"/>
        <v>308.5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 spans="1:49 16350:16356" x14ac:dyDescent="0.25">
      <c r="A16" s="45" t="s">
        <v>149</v>
      </c>
      <c r="B16" s="2">
        <v>66</v>
      </c>
      <c r="C16" s="2">
        <v>92</v>
      </c>
      <c r="D16" s="2">
        <v>66</v>
      </c>
      <c r="E16" s="2">
        <v>88</v>
      </c>
      <c r="F16" s="2">
        <v>33</v>
      </c>
      <c r="G16" s="2">
        <f t="shared" si="0"/>
        <v>121</v>
      </c>
      <c r="H16" s="2">
        <f t="shared" si="1"/>
        <v>345</v>
      </c>
      <c r="I16" s="2">
        <v>68</v>
      </c>
      <c r="J16" s="2">
        <v>82</v>
      </c>
      <c r="K16" s="2">
        <v>72</v>
      </c>
      <c r="L16" s="2">
        <v>60</v>
      </c>
      <c r="M16" s="2">
        <v>21</v>
      </c>
      <c r="N16" s="12">
        <f t="shared" si="3"/>
        <v>81</v>
      </c>
      <c r="O16" s="2">
        <f t="shared" si="2"/>
        <v>303</v>
      </c>
      <c r="P16" s="24">
        <v>80</v>
      </c>
      <c r="Q16" s="2">
        <v>64</v>
      </c>
      <c r="R16" s="2">
        <v>84</v>
      </c>
      <c r="S16" s="2">
        <v>82</v>
      </c>
      <c r="T16" s="2">
        <v>25.5</v>
      </c>
      <c r="U16" s="2">
        <f t="shared" si="4"/>
        <v>107.5</v>
      </c>
      <c r="V16" s="2">
        <f t="shared" si="5"/>
        <v>335.5</v>
      </c>
      <c r="W16" s="2">
        <v>82</v>
      </c>
      <c r="X16" s="2">
        <v>79</v>
      </c>
      <c r="Y16" s="2">
        <v>70</v>
      </c>
      <c r="Z16" s="2">
        <v>84</v>
      </c>
      <c r="AA16" s="2">
        <v>33</v>
      </c>
      <c r="AB16" s="2">
        <f t="shared" si="6"/>
        <v>117</v>
      </c>
      <c r="AC16" s="2">
        <f t="shared" si="7"/>
        <v>348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</row>
    <row r="17" spans="1:49" x14ac:dyDescent="0.25">
      <c r="A17" s="45" t="s">
        <v>150</v>
      </c>
      <c r="B17" s="2">
        <v>64</v>
      </c>
      <c r="C17" s="2">
        <v>67</v>
      </c>
      <c r="D17" s="2">
        <v>60</v>
      </c>
      <c r="E17" s="2">
        <v>80</v>
      </c>
      <c r="F17" s="2">
        <v>30</v>
      </c>
      <c r="G17" s="2">
        <f t="shared" si="0"/>
        <v>110</v>
      </c>
      <c r="H17" s="2">
        <f t="shared" si="1"/>
        <v>301</v>
      </c>
      <c r="I17" s="2">
        <v>66</v>
      </c>
      <c r="J17" s="2">
        <v>74</v>
      </c>
      <c r="K17" s="2">
        <v>62</v>
      </c>
      <c r="L17" s="2">
        <v>76</v>
      </c>
      <c r="M17" s="2">
        <v>18</v>
      </c>
      <c r="N17" s="12">
        <f t="shared" si="3"/>
        <v>94</v>
      </c>
      <c r="O17" s="2">
        <f t="shared" si="2"/>
        <v>296</v>
      </c>
      <c r="P17" s="24">
        <v>70</v>
      </c>
      <c r="Q17" s="2">
        <v>70</v>
      </c>
      <c r="R17" s="2">
        <v>82</v>
      </c>
      <c r="S17" s="2">
        <v>70</v>
      </c>
      <c r="T17" s="2">
        <v>33</v>
      </c>
      <c r="U17" s="2">
        <f t="shared" si="4"/>
        <v>103</v>
      </c>
      <c r="V17" s="2">
        <f t="shared" si="5"/>
        <v>325</v>
      </c>
      <c r="W17" s="2">
        <v>58</v>
      </c>
      <c r="X17" s="2">
        <v>65</v>
      </c>
      <c r="Y17" s="2">
        <v>62</v>
      </c>
      <c r="Z17" s="2">
        <v>68</v>
      </c>
      <c r="AA17" s="2">
        <v>34.5</v>
      </c>
      <c r="AB17" s="2">
        <f t="shared" si="6"/>
        <v>102.5</v>
      </c>
      <c r="AC17" s="2">
        <f t="shared" si="7"/>
        <v>287.5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</row>
    <row r="18" spans="1:49" x14ac:dyDescent="0.25">
      <c r="A18" s="45" t="s">
        <v>151</v>
      </c>
      <c r="B18" s="2">
        <v>46</v>
      </c>
      <c r="C18" s="2">
        <v>64</v>
      </c>
      <c r="D18" s="2">
        <v>52</v>
      </c>
      <c r="E18" s="2">
        <v>64</v>
      </c>
      <c r="F18" s="2">
        <v>33</v>
      </c>
      <c r="G18" s="2">
        <f t="shared" si="0"/>
        <v>97</v>
      </c>
      <c r="H18" s="2">
        <f t="shared" si="1"/>
        <v>259</v>
      </c>
      <c r="I18" s="2">
        <v>66</v>
      </c>
      <c r="J18" s="2">
        <v>68</v>
      </c>
      <c r="K18" s="2">
        <v>68</v>
      </c>
      <c r="L18" s="2">
        <v>59</v>
      </c>
      <c r="M18" s="2">
        <v>20</v>
      </c>
      <c r="N18" s="12">
        <f t="shared" si="3"/>
        <v>79</v>
      </c>
      <c r="O18" s="2">
        <f t="shared" si="2"/>
        <v>281</v>
      </c>
      <c r="P18" s="24">
        <v>66</v>
      </c>
      <c r="Q18" s="2">
        <v>68</v>
      </c>
      <c r="R18" s="2">
        <v>80</v>
      </c>
      <c r="S18" s="2">
        <v>37</v>
      </c>
      <c r="T18" s="2">
        <v>39</v>
      </c>
      <c r="U18" s="2">
        <f t="shared" si="4"/>
        <v>76</v>
      </c>
      <c r="V18" s="2">
        <f t="shared" si="5"/>
        <v>290</v>
      </c>
      <c r="W18" s="2">
        <v>68</v>
      </c>
      <c r="X18" s="2">
        <v>77</v>
      </c>
      <c r="Y18" s="2">
        <v>62</v>
      </c>
      <c r="Z18" s="2">
        <v>72</v>
      </c>
      <c r="AA18" s="2">
        <v>34.5</v>
      </c>
      <c r="AB18" s="2">
        <f t="shared" si="6"/>
        <v>106.5</v>
      </c>
      <c r="AC18" s="2">
        <f t="shared" si="7"/>
        <v>313.5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 spans="1:49" x14ac:dyDescent="0.25">
      <c r="A19" s="45" t="s">
        <v>152</v>
      </c>
      <c r="B19" s="2">
        <v>74</v>
      </c>
      <c r="C19" s="2">
        <v>51</v>
      </c>
      <c r="D19" s="2">
        <v>46</v>
      </c>
      <c r="E19" s="2">
        <v>76</v>
      </c>
      <c r="F19" s="2">
        <v>27</v>
      </c>
      <c r="G19" s="2">
        <f t="shared" si="0"/>
        <v>103</v>
      </c>
      <c r="H19" s="2">
        <f t="shared" si="1"/>
        <v>274</v>
      </c>
      <c r="I19" s="2">
        <v>72</v>
      </c>
      <c r="J19" s="2">
        <v>75</v>
      </c>
      <c r="K19" s="2">
        <v>74</v>
      </c>
      <c r="L19" s="2">
        <v>45</v>
      </c>
      <c r="M19" s="2">
        <v>19</v>
      </c>
      <c r="N19" s="12">
        <f t="shared" si="3"/>
        <v>64</v>
      </c>
      <c r="O19" s="2">
        <f t="shared" si="2"/>
        <v>285</v>
      </c>
      <c r="P19" s="24">
        <v>70</v>
      </c>
      <c r="Q19" s="2">
        <v>52</v>
      </c>
      <c r="R19" s="2">
        <v>58</v>
      </c>
      <c r="S19" s="2">
        <v>56</v>
      </c>
      <c r="T19" s="2">
        <v>30</v>
      </c>
      <c r="U19" s="2">
        <f t="shared" si="4"/>
        <v>86</v>
      </c>
      <c r="V19" s="2">
        <f t="shared" si="5"/>
        <v>266</v>
      </c>
      <c r="W19" s="2">
        <v>68</v>
      </c>
      <c r="X19" s="2">
        <v>60</v>
      </c>
      <c r="Y19" s="2">
        <v>44</v>
      </c>
      <c r="Z19" s="2">
        <v>66</v>
      </c>
      <c r="AA19" s="2">
        <v>30</v>
      </c>
      <c r="AB19" s="2">
        <f t="shared" si="6"/>
        <v>96</v>
      </c>
      <c r="AC19" s="2">
        <f t="shared" si="7"/>
        <v>268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</row>
    <row r="20" spans="1:49" x14ac:dyDescent="0.25">
      <c r="A20" s="45" t="s">
        <v>153</v>
      </c>
      <c r="B20" s="2">
        <v>52</v>
      </c>
      <c r="C20" s="2">
        <v>48</v>
      </c>
      <c r="D20" s="2">
        <v>38</v>
      </c>
      <c r="E20" s="2">
        <v>46</v>
      </c>
      <c r="F20" s="2">
        <v>24</v>
      </c>
      <c r="G20" s="2">
        <f t="shared" si="0"/>
        <v>70</v>
      </c>
      <c r="H20" s="2">
        <f t="shared" si="1"/>
        <v>208</v>
      </c>
      <c r="I20" s="2"/>
      <c r="J20" s="2"/>
      <c r="K20" s="2"/>
      <c r="L20" s="2"/>
      <c r="M20" s="2"/>
      <c r="N20" s="12"/>
      <c r="O20" s="12"/>
      <c r="P20" s="24">
        <v>54</v>
      </c>
      <c r="Q20" s="2">
        <v>51</v>
      </c>
      <c r="R20" s="2">
        <v>52</v>
      </c>
      <c r="S20" s="2">
        <v>31</v>
      </c>
      <c r="T20" s="2">
        <v>31.5</v>
      </c>
      <c r="U20" s="2">
        <f t="shared" si="4"/>
        <v>62.5</v>
      </c>
      <c r="V20" s="2">
        <f t="shared" si="5"/>
        <v>219.5</v>
      </c>
      <c r="W20" s="12"/>
      <c r="X20" s="12"/>
      <c r="Y20" s="2"/>
      <c r="Z20" s="2"/>
      <c r="AA20" s="2"/>
      <c r="AB20" s="2">
        <f t="shared" si="6"/>
        <v>0</v>
      </c>
      <c r="AC20" s="2">
        <f t="shared" si="7"/>
        <v>0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</row>
    <row r="21" spans="1:49" x14ac:dyDescent="0.25">
      <c r="A21" s="45" t="s">
        <v>154</v>
      </c>
      <c r="B21" s="2">
        <v>76</v>
      </c>
      <c r="C21" s="2">
        <v>64</v>
      </c>
      <c r="D21" s="2">
        <v>60</v>
      </c>
      <c r="E21" s="2">
        <v>60</v>
      </c>
      <c r="F21" s="2">
        <v>30</v>
      </c>
      <c r="G21" s="2">
        <f t="shared" ref="G21:G45" si="8">SUM(E21:F21)</f>
        <v>90</v>
      </c>
      <c r="H21" s="2">
        <f t="shared" ref="H21:H45" si="9">SUM(B21:F21)</f>
        <v>290</v>
      </c>
      <c r="I21" s="2">
        <v>64</v>
      </c>
      <c r="J21" s="2">
        <v>70</v>
      </c>
      <c r="K21" s="2">
        <v>74</v>
      </c>
      <c r="L21" s="2">
        <v>42</v>
      </c>
      <c r="M21" s="2">
        <v>27</v>
      </c>
      <c r="N21" s="12">
        <f>SUM(L21:M21)</f>
        <v>69</v>
      </c>
      <c r="O21" s="2">
        <f t="shared" ref="O21:O45" si="10">SUM(I21:M21)</f>
        <v>277</v>
      </c>
      <c r="P21" s="24">
        <v>76</v>
      </c>
      <c r="Q21" s="2">
        <v>73</v>
      </c>
      <c r="R21" s="2">
        <v>66</v>
      </c>
      <c r="S21" s="2">
        <v>32</v>
      </c>
      <c r="T21" s="2">
        <v>34.5</v>
      </c>
      <c r="U21" s="2">
        <f t="shared" si="4"/>
        <v>66.5</v>
      </c>
      <c r="V21" s="2">
        <f t="shared" si="5"/>
        <v>281.5</v>
      </c>
      <c r="W21" s="12"/>
      <c r="X21" s="2"/>
      <c r="Y21" s="2"/>
      <c r="Z21" s="2"/>
      <c r="AA21" s="2"/>
      <c r="AB21" s="2">
        <f t="shared" si="6"/>
        <v>0</v>
      </c>
      <c r="AC21" s="2">
        <f t="shared" si="7"/>
        <v>0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</row>
    <row r="22" spans="1:49" x14ac:dyDescent="0.25">
      <c r="A22" s="45" t="s">
        <v>155</v>
      </c>
      <c r="B22" s="2">
        <v>84</v>
      </c>
      <c r="C22" s="2">
        <v>73</v>
      </c>
      <c r="D22" s="2">
        <v>61</v>
      </c>
      <c r="E22" s="2">
        <v>69</v>
      </c>
      <c r="F22" s="2">
        <v>28.5</v>
      </c>
      <c r="G22" s="2">
        <f t="shared" si="8"/>
        <v>97.5</v>
      </c>
      <c r="H22" s="2">
        <f t="shared" si="9"/>
        <v>315.5</v>
      </c>
      <c r="I22" s="2">
        <v>66</v>
      </c>
      <c r="J22" s="2">
        <v>83</v>
      </c>
      <c r="K22" s="2">
        <v>84</v>
      </c>
      <c r="L22" s="2">
        <v>40</v>
      </c>
      <c r="M22" s="2">
        <v>21</v>
      </c>
      <c r="N22" s="12">
        <f>SUM(L22:M22)</f>
        <v>61</v>
      </c>
      <c r="O22" s="2">
        <f t="shared" si="10"/>
        <v>294</v>
      </c>
      <c r="P22" s="24">
        <v>82</v>
      </c>
      <c r="Q22" s="2">
        <v>86</v>
      </c>
      <c r="R22" s="2">
        <v>82</v>
      </c>
      <c r="S22" s="2">
        <v>46</v>
      </c>
      <c r="T22" s="2">
        <v>30</v>
      </c>
      <c r="U22" s="2">
        <f t="shared" si="4"/>
        <v>76</v>
      </c>
      <c r="V22" s="2">
        <f t="shared" si="5"/>
        <v>326</v>
      </c>
      <c r="W22" s="2">
        <v>76</v>
      </c>
      <c r="X22" s="2">
        <v>83</v>
      </c>
      <c r="Y22" s="2">
        <v>76</v>
      </c>
      <c r="Z22" s="2">
        <v>74</v>
      </c>
      <c r="AA22" s="2">
        <v>37.5</v>
      </c>
      <c r="AB22" s="2">
        <f t="shared" si="6"/>
        <v>111.5</v>
      </c>
      <c r="AC22" s="2">
        <f t="shared" si="7"/>
        <v>346.5</v>
      </c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</row>
    <row r="23" spans="1:49" x14ac:dyDescent="0.25">
      <c r="A23" s="45" t="s">
        <v>156</v>
      </c>
      <c r="B23" s="2">
        <v>84</v>
      </c>
      <c r="C23" s="2">
        <v>33</v>
      </c>
      <c r="D23" s="2">
        <v>66</v>
      </c>
      <c r="E23" s="2">
        <v>84</v>
      </c>
      <c r="F23" s="2">
        <v>24</v>
      </c>
      <c r="G23" s="2">
        <f t="shared" si="8"/>
        <v>108</v>
      </c>
      <c r="H23" s="2">
        <f t="shared" si="9"/>
        <v>291</v>
      </c>
      <c r="I23" s="2">
        <v>74</v>
      </c>
      <c r="J23" s="2">
        <v>81</v>
      </c>
      <c r="K23" s="2">
        <v>64</v>
      </c>
      <c r="L23" s="2">
        <v>66</v>
      </c>
      <c r="M23" s="2">
        <v>17</v>
      </c>
      <c r="N23" s="12">
        <f t="shared" ref="N23:N45" si="11">SUM(L23:M23)</f>
        <v>83</v>
      </c>
      <c r="O23" s="2">
        <f t="shared" si="10"/>
        <v>302</v>
      </c>
      <c r="P23" s="24">
        <v>78</v>
      </c>
      <c r="Q23" s="2">
        <v>54</v>
      </c>
      <c r="R23" s="2">
        <v>74</v>
      </c>
      <c r="S23" s="2">
        <v>51</v>
      </c>
      <c r="T23" s="2">
        <v>24</v>
      </c>
      <c r="U23" s="2">
        <f t="shared" si="4"/>
        <v>75</v>
      </c>
      <c r="V23" s="2">
        <f t="shared" si="5"/>
        <v>281</v>
      </c>
      <c r="W23" s="2">
        <v>72</v>
      </c>
      <c r="X23" s="2">
        <v>72</v>
      </c>
      <c r="Y23" s="2">
        <v>50</v>
      </c>
      <c r="Z23" s="2">
        <v>68</v>
      </c>
      <c r="AA23" s="2">
        <v>28.5</v>
      </c>
      <c r="AB23" s="2">
        <f t="shared" si="6"/>
        <v>96.5</v>
      </c>
      <c r="AC23" s="2">
        <f t="shared" si="7"/>
        <v>290.5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</row>
    <row r="24" spans="1:49" x14ac:dyDescent="0.25">
      <c r="A24" s="47" t="s">
        <v>157</v>
      </c>
      <c r="B24" s="2">
        <v>88</v>
      </c>
      <c r="C24" s="2">
        <v>86</v>
      </c>
      <c r="D24" s="2">
        <v>74</v>
      </c>
      <c r="E24" s="2">
        <v>95</v>
      </c>
      <c r="F24" s="2">
        <v>36</v>
      </c>
      <c r="G24" s="2">
        <f t="shared" si="8"/>
        <v>131</v>
      </c>
      <c r="H24" s="2">
        <f t="shared" si="9"/>
        <v>379</v>
      </c>
      <c r="I24" s="2"/>
      <c r="J24" s="2"/>
      <c r="K24" s="2"/>
      <c r="L24" s="2"/>
      <c r="M24" s="2"/>
      <c r="N24" s="12"/>
      <c r="O24" s="12"/>
      <c r="P24" s="24">
        <v>86</v>
      </c>
      <c r="Q24" s="2">
        <v>81</v>
      </c>
      <c r="R24" s="2">
        <v>88</v>
      </c>
      <c r="S24" s="2">
        <v>72</v>
      </c>
      <c r="T24" s="2">
        <v>37.5</v>
      </c>
      <c r="U24" s="2">
        <f t="shared" si="4"/>
        <v>109.5</v>
      </c>
      <c r="V24" s="2">
        <f t="shared" si="5"/>
        <v>364.5</v>
      </c>
      <c r="W24" s="2">
        <v>90</v>
      </c>
      <c r="X24" s="2">
        <v>96</v>
      </c>
      <c r="Y24" s="2">
        <v>88</v>
      </c>
      <c r="Z24" s="2">
        <v>98</v>
      </c>
      <c r="AA24" s="2">
        <v>37.5</v>
      </c>
      <c r="AB24" s="2">
        <f t="shared" si="6"/>
        <v>135.5</v>
      </c>
      <c r="AC24" s="2">
        <f t="shared" si="7"/>
        <v>409.5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</row>
    <row r="25" spans="1:49" x14ac:dyDescent="0.25">
      <c r="A25" s="47" t="s">
        <v>158</v>
      </c>
      <c r="B25" s="2">
        <v>86</v>
      </c>
      <c r="C25" s="2">
        <v>87</v>
      </c>
      <c r="D25" s="2">
        <v>63</v>
      </c>
      <c r="E25" s="2">
        <v>95</v>
      </c>
      <c r="F25" s="2">
        <v>34.5</v>
      </c>
      <c r="G25" s="2">
        <f t="shared" si="8"/>
        <v>129.5</v>
      </c>
      <c r="H25" s="2">
        <f t="shared" si="9"/>
        <v>365.5</v>
      </c>
      <c r="I25" s="2">
        <v>68</v>
      </c>
      <c r="J25" s="2">
        <v>91</v>
      </c>
      <c r="K25" s="2">
        <v>84</v>
      </c>
      <c r="L25" s="2">
        <v>79</v>
      </c>
      <c r="M25" s="2">
        <v>22</v>
      </c>
      <c r="N25" s="12">
        <f t="shared" si="11"/>
        <v>101</v>
      </c>
      <c r="O25" s="2">
        <f t="shared" si="10"/>
        <v>344</v>
      </c>
      <c r="P25" s="24">
        <v>84</v>
      </c>
      <c r="Q25" s="2">
        <v>84</v>
      </c>
      <c r="R25" s="2">
        <v>94</v>
      </c>
      <c r="S25" s="2">
        <v>84</v>
      </c>
      <c r="T25" s="2">
        <v>42</v>
      </c>
      <c r="U25" s="2">
        <f t="shared" si="4"/>
        <v>126</v>
      </c>
      <c r="V25" s="2">
        <f t="shared" si="5"/>
        <v>388</v>
      </c>
      <c r="W25" s="2">
        <v>78</v>
      </c>
      <c r="X25" s="2">
        <v>79</v>
      </c>
      <c r="Y25" s="2">
        <v>70</v>
      </c>
      <c r="Z25" s="2">
        <v>85</v>
      </c>
      <c r="AA25" s="2">
        <v>36</v>
      </c>
      <c r="AB25" s="2">
        <f t="shared" si="6"/>
        <v>121</v>
      </c>
      <c r="AC25" s="2">
        <f t="shared" si="7"/>
        <v>348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</row>
    <row r="26" spans="1:49" x14ac:dyDescent="0.25">
      <c r="A26" s="47" t="s">
        <v>159</v>
      </c>
      <c r="B26" s="12"/>
      <c r="C26" s="12"/>
      <c r="D26" s="12"/>
      <c r="E26" s="12"/>
      <c r="F26" s="12"/>
      <c r="G26" s="2">
        <f t="shared" si="8"/>
        <v>0</v>
      </c>
      <c r="H26" s="2">
        <f t="shared" si="9"/>
        <v>0</v>
      </c>
      <c r="I26" s="2"/>
      <c r="J26" s="2"/>
      <c r="K26" s="2"/>
      <c r="L26" s="2"/>
      <c r="M26" s="2"/>
      <c r="N26" s="12"/>
      <c r="O26" s="12"/>
      <c r="P26" s="24">
        <v>56</v>
      </c>
      <c r="Q26" s="2">
        <v>42</v>
      </c>
      <c r="R26" s="2">
        <v>72</v>
      </c>
      <c r="S26" s="2">
        <v>17</v>
      </c>
      <c r="T26" s="2">
        <v>22.5</v>
      </c>
      <c r="U26" s="2">
        <f t="shared" si="4"/>
        <v>39.5</v>
      </c>
      <c r="V26" s="2">
        <f t="shared" si="5"/>
        <v>209.5</v>
      </c>
      <c r="W26" s="2">
        <v>58</v>
      </c>
      <c r="X26" s="2">
        <v>17</v>
      </c>
      <c r="Y26" s="2">
        <v>66</v>
      </c>
      <c r="Z26" s="2">
        <v>28</v>
      </c>
      <c r="AA26" s="2">
        <v>28.5</v>
      </c>
      <c r="AB26" s="2">
        <f t="shared" si="6"/>
        <v>56.5</v>
      </c>
      <c r="AC26" s="2">
        <f t="shared" si="7"/>
        <v>197.5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</row>
    <row r="27" spans="1:49" x14ac:dyDescent="0.25">
      <c r="A27" s="47" t="s">
        <v>160</v>
      </c>
      <c r="B27" s="2">
        <v>80</v>
      </c>
      <c r="C27" s="2">
        <v>95</v>
      </c>
      <c r="D27" s="2">
        <v>81</v>
      </c>
      <c r="E27" s="2">
        <v>81</v>
      </c>
      <c r="F27" s="2">
        <v>39</v>
      </c>
      <c r="G27" s="2">
        <f t="shared" si="8"/>
        <v>120</v>
      </c>
      <c r="H27" s="2">
        <f t="shared" si="9"/>
        <v>376</v>
      </c>
      <c r="I27" s="2">
        <v>78</v>
      </c>
      <c r="J27" s="2">
        <v>73</v>
      </c>
      <c r="K27" s="2">
        <v>84</v>
      </c>
      <c r="L27" s="2">
        <v>63</v>
      </c>
      <c r="M27" s="2">
        <v>24</v>
      </c>
      <c r="N27" s="12">
        <f t="shared" si="11"/>
        <v>87</v>
      </c>
      <c r="O27" s="2">
        <f t="shared" si="10"/>
        <v>322</v>
      </c>
      <c r="P27" s="24">
        <v>70</v>
      </c>
      <c r="Q27" s="2">
        <v>70</v>
      </c>
      <c r="R27" s="2">
        <v>88</v>
      </c>
      <c r="S27" s="2">
        <v>57</v>
      </c>
      <c r="T27" s="2">
        <v>40.5</v>
      </c>
      <c r="U27" s="2">
        <f t="shared" si="4"/>
        <v>97.5</v>
      </c>
      <c r="V27" s="2">
        <f t="shared" si="5"/>
        <v>325.5</v>
      </c>
      <c r="W27" s="12"/>
      <c r="X27" s="2"/>
      <c r="Y27" s="2"/>
      <c r="Z27" s="2"/>
      <c r="AA27" s="2"/>
      <c r="AB27" s="2">
        <f t="shared" si="6"/>
        <v>0</v>
      </c>
      <c r="AC27" s="2">
        <f t="shared" si="7"/>
        <v>0</v>
      </c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</row>
    <row r="28" spans="1:49" x14ac:dyDescent="0.25">
      <c r="A28" s="47" t="s">
        <v>161</v>
      </c>
      <c r="B28" s="2">
        <v>50</v>
      </c>
      <c r="C28" s="2">
        <v>53</v>
      </c>
      <c r="D28" s="2">
        <v>73</v>
      </c>
      <c r="E28" s="2">
        <v>95</v>
      </c>
      <c r="F28" s="2">
        <v>34.5</v>
      </c>
      <c r="G28" s="2">
        <f t="shared" si="8"/>
        <v>129.5</v>
      </c>
      <c r="H28" s="2">
        <f t="shared" si="9"/>
        <v>305.5</v>
      </c>
      <c r="I28" s="2">
        <v>58</v>
      </c>
      <c r="J28" s="2">
        <v>78</v>
      </c>
      <c r="K28" s="2">
        <v>80</v>
      </c>
      <c r="L28" s="2">
        <v>66</v>
      </c>
      <c r="M28" s="2">
        <v>18</v>
      </c>
      <c r="N28" s="12">
        <f t="shared" si="11"/>
        <v>84</v>
      </c>
      <c r="O28" s="2">
        <f t="shared" si="10"/>
        <v>300</v>
      </c>
      <c r="P28" s="24">
        <v>58</v>
      </c>
      <c r="Q28" s="2">
        <v>65</v>
      </c>
      <c r="R28" s="2">
        <v>90</v>
      </c>
      <c r="S28" s="2">
        <v>85</v>
      </c>
      <c r="T28" s="2">
        <v>34.5</v>
      </c>
      <c r="U28" s="2">
        <f t="shared" si="4"/>
        <v>119.5</v>
      </c>
      <c r="V28" s="2">
        <f t="shared" si="5"/>
        <v>332.5</v>
      </c>
      <c r="W28" s="2">
        <v>74</v>
      </c>
      <c r="X28" s="2">
        <v>66</v>
      </c>
      <c r="Y28" s="2">
        <v>78</v>
      </c>
      <c r="Z28" s="2">
        <v>74</v>
      </c>
      <c r="AA28" s="2">
        <v>37.5</v>
      </c>
      <c r="AB28" s="2">
        <f t="shared" si="6"/>
        <v>111.5</v>
      </c>
      <c r="AC28" s="2">
        <f t="shared" si="7"/>
        <v>329.5</v>
      </c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</row>
    <row r="29" spans="1:49" x14ac:dyDescent="0.25">
      <c r="A29" s="48" t="s">
        <v>162</v>
      </c>
      <c r="B29" s="2">
        <v>80</v>
      </c>
      <c r="C29" s="2">
        <v>100</v>
      </c>
      <c r="D29" s="2">
        <v>70</v>
      </c>
      <c r="E29" s="2">
        <v>105</v>
      </c>
      <c r="F29" s="2">
        <v>33</v>
      </c>
      <c r="G29" s="2">
        <f t="shared" si="8"/>
        <v>138</v>
      </c>
      <c r="H29" s="2">
        <f t="shared" si="9"/>
        <v>388</v>
      </c>
      <c r="I29" s="2">
        <v>70</v>
      </c>
      <c r="J29" s="2">
        <v>97</v>
      </c>
      <c r="K29" s="2">
        <v>86</v>
      </c>
      <c r="L29" s="2">
        <v>89</v>
      </c>
      <c r="M29" s="2">
        <v>24</v>
      </c>
      <c r="N29" s="12">
        <f t="shared" si="11"/>
        <v>113</v>
      </c>
      <c r="O29" s="2">
        <f t="shared" si="10"/>
        <v>366</v>
      </c>
      <c r="P29" s="24">
        <v>86</v>
      </c>
      <c r="Q29" s="2">
        <v>100</v>
      </c>
      <c r="R29" s="2">
        <v>82</v>
      </c>
      <c r="S29" s="2">
        <v>95</v>
      </c>
      <c r="T29" s="2">
        <v>40.5</v>
      </c>
      <c r="U29" s="2">
        <f t="shared" si="4"/>
        <v>135.5</v>
      </c>
      <c r="V29" s="2">
        <f t="shared" si="5"/>
        <v>403.5</v>
      </c>
      <c r="W29" s="2">
        <v>88</v>
      </c>
      <c r="X29" s="2">
        <v>89</v>
      </c>
      <c r="Y29" s="2">
        <v>76</v>
      </c>
      <c r="Z29" s="2">
        <v>92</v>
      </c>
      <c r="AA29" s="2">
        <v>37.5</v>
      </c>
      <c r="AB29" s="2">
        <f t="shared" si="6"/>
        <v>129.5</v>
      </c>
      <c r="AC29" s="2">
        <f t="shared" si="7"/>
        <v>382.5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</row>
    <row r="30" spans="1:49" x14ac:dyDescent="0.25">
      <c r="A30" s="49" t="s">
        <v>163</v>
      </c>
      <c r="B30" s="12"/>
      <c r="C30" s="12"/>
      <c r="D30" s="12"/>
      <c r="E30" s="12"/>
      <c r="F30" s="12"/>
      <c r="G30" s="2">
        <f t="shared" si="8"/>
        <v>0</v>
      </c>
      <c r="H30" s="2">
        <f t="shared" si="9"/>
        <v>0</v>
      </c>
      <c r="I30" s="2"/>
      <c r="J30" s="2"/>
      <c r="K30" s="2"/>
      <c r="L30" s="2"/>
      <c r="M30" s="2"/>
      <c r="N30" s="12"/>
      <c r="O30" s="12"/>
      <c r="P30" s="24"/>
      <c r="Q30" s="2"/>
      <c r="R30" s="2"/>
      <c r="S30" s="2"/>
      <c r="T30" s="2"/>
      <c r="U30" s="2">
        <f t="shared" si="4"/>
        <v>0</v>
      </c>
      <c r="V30" s="2">
        <f t="shared" si="5"/>
        <v>0</v>
      </c>
      <c r="W30" s="12"/>
      <c r="X30" s="2"/>
      <c r="Y30" s="2"/>
      <c r="Z30" s="2"/>
      <c r="AA30" s="2"/>
      <c r="AB30" s="2">
        <f t="shared" si="6"/>
        <v>0</v>
      </c>
      <c r="AC30" s="2">
        <f t="shared" si="7"/>
        <v>0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 spans="1:49" x14ac:dyDescent="0.25">
      <c r="A31" s="50" t="s">
        <v>164</v>
      </c>
      <c r="B31" s="2">
        <v>78</v>
      </c>
      <c r="C31" s="2">
        <v>42</v>
      </c>
      <c r="D31" s="2">
        <v>67</v>
      </c>
      <c r="E31" s="2">
        <v>71</v>
      </c>
      <c r="F31" s="2">
        <v>30</v>
      </c>
      <c r="G31" s="2">
        <f t="shared" si="8"/>
        <v>101</v>
      </c>
      <c r="H31" s="2">
        <f t="shared" si="9"/>
        <v>288</v>
      </c>
      <c r="I31" s="2"/>
      <c r="J31" s="2"/>
      <c r="K31" s="2"/>
      <c r="L31" s="2"/>
      <c r="M31" s="2"/>
      <c r="N31" s="12"/>
      <c r="O31" s="12"/>
      <c r="P31" s="24">
        <v>90</v>
      </c>
      <c r="Q31" s="2">
        <v>89</v>
      </c>
      <c r="R31" s="2">
        <v>90</v>
      </c>
      <c r="S31" s="2">
        <v>55</v>
      </c>
      <c r="T31" s="2">
        <v>31.5</v>
      </c>
      <c r="U31" s="2">
        <f t="shared" si="4"/>
        <v>86.5</v>
      </c>
      <c r="V31" s="2">
        <f t="shared" si="5"/>
        <v>355.5</v>
      </c>
      <c r="W31" s="12"/>
      <c r="X31" s="2"/>
      <c r="Y31" s="2"/>
      <c r="Z31" s="2"/>
      <c r="AA31" s="2"/>
      <c r="AB31" s="2">
        <f t="shared" si="6"/>
        <v>0</v>
      </c>
      <c r="AC31" s="2">
        <f t="shared" si="7"/>
        <v>0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 spans="1:49" x14ac:dyDescent="0.25">
      <c r="A32" s="49" t="s">
        <v>165</v>
      </c>
      <c r="B32" s="2">
        <v>64</v>
      </c>
      <c r="C32" s="2">
        <v>89</v>
      </c>
      <c r="D32" s="2">
        <v>51</v>
      </c>
      <c r="E32" s="2">
        <v>77</v>
      </c>
      <c r="F32" s="2">
        <v>22.5</v>
      </c>
      <c r="G32" s="2">
        <f t="shared" si="8"/>
        <v>99.5</v>
      </c>
      <c r="H32" s="2">
        <f t="shared" si="9"/>
        <v>303.5</v>
      </c>
      <c r="I32" s="2"/>
      <c r="J32" s="2"/>
      <c r="K32" s="2"/>
      <c r="L32" s="2"/>
      <c r="M32" s="2"/>
      <c r="N32" s="12"/>
      <c r="O32" s="12"/>
      <c r="P32" s="24">
        <v>88</v>
      </c>
      <c r="Q32" s="2">
        <v>86</v>
      </c>
      <c r="R32" s="2">
        <v>82</v>
      </c>
      <c r="S32" s="2">
        <v>55</v>
      </c>
      <c r="T32" s="2">
        <v>31.5</v>
      </c>
      <c r="U32" s="2">
        <f t="shared" si="4"/>
        <v>86.5</v>
      </c>
      <c r="V32" s="2">
        <f t="shared" si="5"/>
        <v>342.5</v>
      </c>
      <c r="W32" s="12"/>
      <c r="X32" s="2"/>
      <c r="Y32" s="2"/>
      <c r="Z32" s="2"/>
      <c r="AA32" s="2"/>
      <c r="AB32" s="2">
        <f t="shared" si="6"/>
        <v>0</v>
      </c>
      <c r="AC32" s="2">
        <f t="shared" si="7"/>
        <v>0</v>
      </c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</row>
    <row r="33" spans="1:49" x14ac:dyDescent="0.25">
      <c r="A33" s="50" t="s">
        <v>166</v>
      </c>
      <c r="B33" s="2">
        <v>94</v>
      </c>
      <c r="C33" s="2">
        <v>79</v>
      </c>
      <c r="D33" s="2">
        <v>69</v>
      </c>
      <c r="E33" s="2">
        <v>89</v>
      </c>
      <c r="F33" s="2">
        <v>28.5</v>
      </c>
      <c r="G33" s="2">
        <f t="shared" si="8"/>
        <v>117.5</v>
      </c>
      <c r="H33" s="2">
        <f t="shared" si="9"/>
        <v>359.5</v>
      </c>
      <c r="I33" s="2">
        <v>82</v>
      </c>
      <c r="J33" s="2">
        <v>79</v>
      </c>
      <c r="K33" s="2">
        <v>86</v>
      </c>
      <c r="L33" s="2">
        <v>61</v>
      </c>
      <c r="M33" s="2">
        <v>22</v>
      </c>
      <c r="N33" s="12">
        <f t="shared" si="11"/>
        <v>83</v>
      </c>
      <c r="O33" s="2">
        <f t="shared" si="10"/>
        <v>330</v>
      </c>
      <c r="P33" s="24">
        <v>82</v>
      </c>
      <c r="Q33" s="2">
        <v>83</v>
      </c>
      <c r="R33" s="2">
        <v>86</v>
      </c>
      <c r="S33" s="2">
        <v>72</v>
      </c>
      <c r="T33" s="2">
        <v>39</v>
      </c>
      <c r="U33" s="2">
        <f t="shared" si="4"/>
        <v>111</v>
      </c>
      <c r="V33" s="2">
        <f t="shared" si="5"/>
        <v>362</v>
      </c>
      <c r="W33" s="2">
        <v>90</v>
      </c>
      <c r="X33" s="2">
        <v>86</v>
      </c>
      <c r="Y33" s="2">
        <v>76</v>
      </c>
      <c r="Z33" s="2">
        <v>73</v>
      </c>
      <c r="AA33" s="2">
        <v>40.5</v>
      </c>
      <c r="AB33" s="2">
        <f t="shared" si="6"/>
        <v>113.5</v>
      </c>
      <c r="AC33" s="2">
        <f t="shared" si="7"/>
        <v>365.5</v>
      </c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</row>
    <row r="34" spans="1:49" x14ac:dyDescent="0.25">
      <c r="A34" s="49" t="s">
        <v>167</v>
      </c>
      <c r="B34" s="2">
        <v>72</v>
      </c>
      <c r="C34" s="2">
        <v>74</v>
      </c>
      <c r="D34" s="2">
        <v>70</v>
      </c>
      <c r="E34" s="2">
        <v>86</v>
      </c>
      <c r="F34" s="2">
        <v>33</v>
      </c>
      <c r="G34" s="2">
        <f t="shared" si="8"/>
        <v>119</v>
      </c>
      <c r="H34" s="2">
        <f t="shared" si="9"/>
        <v>335</v>
      </c>
      <c r="I34" s="2">
        <v>64</v>
      </c>
      <c r="J34" s="2">
        <v>83</v>
      </c>
      <c r="K34" s="2">
        <v>74</v>
      </c>
      <c r="L34" s="2">
        <v>73</v>
      </c>
      <c r="M34" s="2">
        <v>25</v>
      </c>
      <c r="N34" s="12">
        <f t="shared" si="11"/>
        <v>98</v>
      </c>
      <c r="O34" s="2">
        <f t="shared" si="10"/>
        <v>319</v>
      </c>
      <c r="P34" s="24">
        <v>74</v>
      </c>
      <c r="Q34" s="2">
        <v>86</v>
      </c>
      <c r="R34" s="2">
        <v>86</v>
      </c>
      <c r="S34" s="2">
        <v>50</v>
      </c>
      <c r="T34" s="2">
        <v>33</v>
      </c>
      <c r="U34" s="2">
        <f t="shared" si="4"/>
        <v>83</v>
      </c>
      <c r="V34" s="2">
        <f t="shared" si="5"/>
        <v>329</v>
      </c>
      <c r="W34" s="2">
        <v>76</v>
      </c>
      <c r="X34" s="2">
        <v>62</v>
      </c>
      <c r="Y34" s="2">
        <v>74</v>
      </c>
      <c r="Z34" s="2">
        <v>66</v>
      </c>
      <c r="AA34" s="2">
        <v>37.5</v>
      </c>
      <c r="AB34" s="2">
        <f t="shared" si="6"/>
        <v>103.5</v>
      </c>
      <c r="AC34" s="2">
        <f t="shared" si="7"/>
        <v>315.5</v>
      </c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</row>
    <row r="35" spans="1:49" x14ac:dyDescent="0.25">
      <c r="A35" s="22" t="s">
        <v>168</v>
      </c>
      <c r="B35" s="2">
        <v>66</v>
      </c>
      <c r="C35" s="2">
        <v>92</v>
      </c>
      <c r="D35" s="2">
        <v>57</v>
      </c>
      <c r="E35" s="2">
        <v>88</v>
      </c>
      <c r="F35" s="2">
        <v>22.5</v>
      </c>
      <c r="G35" s="2">
        <f t="shared" si="8"/>
        <v>110.5</v>
      </c>
      <c r="H35" s="2">
        <f t="shared" si="9"/>
        <v>325.5</v>
      </c>
      <c r="I35" s="2">
        <v>70</v>
      </c>
      <c r="J35" s="2">
        <v>87</v>
      </c>
      <c r="K35" s="2">
        <v>70</v>
      </c>
      <c r="L35" s="2">
        <v>73</v>
      </c>
      <c r="M35" s="2">
        <v>22</v>
      </c>
      <c r="N35" s="12">
        <f t="shared" si="11"/>
        <v>95</v>
      </c>
      <c r="O35" s="2">
        <f t="shared" si="10"/>
        <v>322</v>
      </c>
      <c r="P35" s="2">
        <v>72</v>
      </c>
      <c r="Q35" s="2">
        <v>85</v>
      </c>
      <c r="R35" s="2">
        <v>86</v>
      </c>
      <c r="S35" s="2">
        <v>59</v>
      </c>
      <c r="T35" s="2">
        <v>33</v>
      </c>
      <c r="U35" s="2">
        <f t="shared" si="4"/>
        <v>92</v>
      </c>
      <c r="V35" s="2">
        <f t="shared" si="5"/>
        <v>335</v>
      </c>
      <c r="W35" s="2">
        <v>74</v>
      </c>
      <c r="X35" s="2">
        <v>85</v>
      </c>
      <c r="Y35" s="2">
        <v>70</v>
      </c>
      <c r="Z35" s="2">
        <v>66</v>
      </c>
      <c r="AA35" s="2">
        <v>28.5</v>
      </c>
      <c r="AB35" s="2">
        <f t="shared" si="6"/>
        <v>94.5</v>
      </c>
      <c r="AC35" s="2">
        <f t="shared" si="7"/>
        <v>323.5</v>
      </c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</row>
    <row r="36" spans="1:49" x14ac:dyDescent="0.25">
      <c r="A36" s="22" t="s">
        <v>169</v>
      </c>
      <c r="B36" s="2">
        <v>84</v>
      </c>
      <c r="C36" s="2">
        <v>56</v>
      </c>
      <c r="D36" s="2">
        <v>66</v>
      </c>
      <c r="E36" s="2">
        <v>72</v>
      </c>
      <c r="F36" s="2">
        <v>22.5</v>
      </c>
      <c r="G36" s="2">
        <f t="shared" si="8"/>
        <v>94.5</v>
      </c>
      <c r="H36" s="2">
        <f t="shared" si="9"/>
        <v>300.5</v>
      </c>
      <c r="I36" s="2">
        <v>74</v>
      </c>
      <c r="J36" s="2">
        <v>81</v>
      </c>
      <c r="K36" s="2">
        <v>64</v>
      </c>
      <c r="L36" s="2">
        <v>73</v>
      </c>
      <c r="M36" s="2">
        <v>22</v>
      </c>
      <c r="N36" s="12">
        <f t="shared" si="11"/>
        <v>95</v>
      </c>
      <c r="O36" s="2">
        <f t="shared" si="10"/>
        <v>314</v>
      </c>
      <c r="P36" s="2">
        <v>86</v>
      </c>
      <c r="Q36" s="2">
        <v>89</v>
      </c>
      <c r="R36" s="2">
        <v>80</v>
      </c>
      <c r="S36" s="2">
        <v>50</v>
      </c>
      <c r="T36" s="2">
        <v>37.5</v>
      </c>
      <c r="U36" s="2">
        <f t="shared" si="4"/>
        <v>87.5</v>
      </c>
      <c r="V36" s="2">
        <f t="shared" si="5"/>
        <v>342.5</v>
      </c>
      <c r="W36" s="2">
        <v>82</v>
      </c>
      <c r="X36" s="2">
        <v>58</v>
      </c>
      <c r="Y36" s="2">
        <v>66</v>
      </c>
      <c r="Z36" s="2">
        <v>61</v>
      </c>
      <c r="AA36" s="2">
        <v>36</v>
      </c>
      <c r="AB36" s="2">
        <f t="shared" si="6"/>
        <v>97</v>
      </c>
      <c r="AC36" s="2">
        <f t="shared" si="7"/>
        <v>303</v>
      </c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spans="1:49" ht="15" x14ac:dyDescent="0.25">
      <c r="A37" s="23" t="s">
        <v>170</v>
      </c>
      <c r="B37" s="2">
        <v>64</v>
      </c>
      <c r="C37" s="2">
        <v>93</v>
      </c>
      <c r="D37" s="2">
        <v>55</v>
      </c>
      <c r="E37" s="2">
        <v>94</v>
      </c>
      <c r="F37" s="2">
        <v>27</v>
      </c>
      <c r="G37" s="2">
        <f t="shared" si="8"/>
        <v>121</v>
      </c>
      <c r="H37" s="2">
        <f t="shared" si="9"/>
        <v>333</v>
      </c>
      <c r="I37" s="2">
        <v>54</v>
      </c>
      <c r="J37" s="2">
        <v>90</v>
      </c>
      <c r="K37" s="2">
        <v>76</v>
      </c>
      <c r="L37" s="2">
        <v>73</v>
      </c>
      <c r="M37" s="2">
        <v>25</v>
      </c>
      <c r="N37" s="12">
        <f t="shared" si="11"/>
        <v>98</v>
      </c>
      <c r="O37" s="2">
        <f t="shared" si="10"/>
        <v>318</v>
      </c>
      <c r="P37" s="2">
        <v>76</v>
      </c>
      <c r="Q37" s="2">
        <v>89</v>
      </c>
      <c r="R37" s="2">
        <v>76</v>
      </c>
      <c r="S37" s="2">
        <v>33</v>
      </c>
      <c r="T37" s="2">
        <v>36</v>
      </c>
      <c r="U37" s="2">
        <f t="shared" si="4"/>
        <v>69</v>
      </c>
      <c r="V37" s="2">
        <f t="shared" si="5"/>
        <v>310</v>
      </c>
      <c r="W37" s="12"/>
      <c r="X37" s="2"/>
      <c r="Y37" s="2"/>
      <c r="Z37" s="2"/>
      <c r="AA37" s="2"/>
      <c r="AB37" s="2">
        <f t="shared" si="6"/>
        <v>0</v>
      </c>
      <c r="AC37" s="2">
        <f t="shared" si="7"/>
        <v>0</v>
      </c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</row>
    <row r="38" spans="1:49" ht="15" x14ac:dyDescent="0.25">
      <c r="A38" s="23" t="s">
        <v>171</v>
      </c>
      <c r="B38" s="2">
        <v>64</v>
      </c>
      <c r="C38" s="2">
        <v>53</v>
      </c>
      <c r="D38" s="2">
        <v>38</v>
      </c>
      <c r="E38" s="2">
        <v>52</v>
      </c>
      <c r="F38" s="2">
        <v>21</v>
      </c>
      <c r="G38" s="2">
        <f t="shared" si="8"/>
        <v>73</v>
      </c>
      <c r="H38" s="2">
        <f t="shared" si="9"/>
        <v>228</v>
      </c>
      <c r="I38" s="2">
        <v>56</v>
      </c>
      <c r="J38" s="2">
        <v>75</v>
      </c>
      <c r="K38" s="2">
        <v>64</v>
      </c>
      <c r="L38" s="2">
        <v>33</v>
      </c>
      <c r="M38" s="2">
        <v>18</v>
      </c>
      <c r="N38" s="12">
        <f t="shared" si="11"/>
        <v>51</v>
      </c>
      <c r="O38" s="2">
        <f t="shared" si="10"/>
        <v>246</v>
      </c>
      <c r="P38" s="2">
        <v>64</v>
      </c>
      <c r="Q38" s="2">
        <v>50</v>
      </c>
      <c r="R38" s="2">
        <v>72</v>
      </c>
      <c r="S38" s="2">
        <v>52</v>
      </c>
      <c r="T38" s="2">
        <v>25.5</v>
      </c>
      <c r="U38" s="2">
        <f t="shared" si="4"/>
        <v>77.5</v>
      </c>
      <c r="V38" s="2">
        <f t="shared" si="5"/>
        <v>263.5</v>
      </c>
      <c r="W38" s="12"/>
      <c r="X38" s="2"/>
      <c r="Y38" s="2"/>
      <c r="Z38" s="2"/>
      <c r="AA38" s="2"/>
      <c r="AB38" s="2">
        <f t="shared" si="6"/>
        <v>0</v>
      </c>
      <c r="AC38" s="2">
        <f t="shared" si="7"/>
        <v>0</v>
      </c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1:49" x14ac:dyDescent="0.25">
      <c r="A39" s="22" t="s">
        <v>172</v>
      </c>
      <c r="B39" s="2">
        <v>76</v>
      </c>
      <c r="C39" s="2">
        <v>87</v>
      </c>
      <c r="D39" s="2">
        <v>68</v>
      </c>
      <c r="E39" s="2">
        <v>88</v>
      </c>
      <c r="F39" s="2">
        <v>34.5</v>
      </c>
      <c r="G39" s="2">
        <f t="shared" si="8"/>
        <v>122.5</v>
      </c>
      <c r="H39" s="2">
        <f t="shared" si="9"/>
        <v>353.5</v>
      </c>
      <c r="I39" s="2">
        <v>70</v>
      </c>
      <c r="J39" s="2">
        <v>93</v>
      </c>
      <c r="K39" s="2">
        <v>80</v>
      </c>
      <c r="L39" s="2">
        <v>78</v>
      </c>
      <c r="M39" s="2">
        <v>22</v>
      </c>
      <c r="N39" s="12">
        <f t="shared" si="11"/>
        <v>100</v>
      </c>
      <c r="O39" s="2">
        <f t="shared" si="10"/>
        <v>343</v>
      </c>
      <c r="P39" s="2">
        <v>76</v>
      </c>
      <c r="Q39" s="2">
        <v>90</v>
      </c>
      <c r="R39" s="2">
        <v>78</v>
      </c>
      <c r="S39" s="2">
        <v>56</v>
      </c>
      <c r="T39" s="2">
        <v>36</v>
      </c>
      <c r="U39" s="2">
        <f t="shared" si="4"/>
        <v>92</v>
      </c>
      <c r="V39" s="2">
        <f t="shared" si="5"/>
        <v>336</v>
      </c>
      <c r="W39" s="2">
        <v>80</v>
      </c>
      <c r="X39" s="2">
        <v>88</v>
      </c>
      <c r="Y39" s="2">
        <v>76</v>
      </c>
      <c r="Z39" s="2">
        <v>80</v>
      </c>
      <c r="AA39" s="2">
        <v>39</v>
      </c>
      <c r="AB39" s="2">
        <f t="shared" si="6"/>
        <v>119</v>
      </c>
      <c r="AC39" s="2">
        <f t="shared" si="7"/>
        <v>363</v>
      </c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1:49" x14ac:dyDescent="0.25">
      <c r="A40" s="51" t="s">
        <v>173</v>
      </c>
      <c r="B40" s="2">
        <v>84</v>
      </c>
      <c r="C40" s="2">
        <v>87</v>
      </c>
      <c r="D40" s="2">
        <v>76</v>
      </c>
      <c r="E40" s="2">
        <v>94</v>
      </c>
      <c r="F40" s="2">
        <v>33</v>
      </c>
      <c r="G40" s="2">
        <f t="shared" si="8"/>
        <v>127</v>
      </c>
      <c r="H40" s="2">
        <f t="shared" si="9"/>
        <v>374</v>
      </c>
      <c r="I40" s="2">
        <v>76</v>
      </c>
      <c r="J40" s="2">
        <v>78</v>
      </c>
      <c r="K40" s="2">
        <v>82</v>
      </c>
      <c r="L40" s="2">
        <v>65</v>
      </c>
      <c r="M40" s="2">
        <v>23</v>
      </c>
      <c r="N40" s="12">
        <f t="shared" si="11"/>
        <v>88</v>
      </c>
      <c r="O40" s="2">
        <f t="shared" si="10"/>
        <v>324</v>
      </c>
      <c r="P40" s="2">
        <v>84</v>
      </c>
      <c r="Q40" s="2">
        <v>72</v>
      </c>
      <c r="R40" s="2">
        <v>82</v>
      </c>
      <c r="S40" s="2">
        <v>55</v>
      </c>
      <c r="T40" s="2">
        <v>31.5</v>
      </c>
      <c r="U40" s="2">
        <f t="shared" si="4"/>
        <v>86.5</v>
      </c>
      <c r="V40" s="2">
        <f t="shared" si="5"/>
        <v>324.5</v>
      </c>
      <c r="W40" s="2">
        <v>88</v>
      </c>
      <c r="X40" s="2">
        <v>83</v>
      </c>
      <c r="Y40" s="2">
        <v>78</v>
      </c>
      <c r="Z40" s="2">
        <v>58</v>
      </c>
      <c r="AA40" s="2">
        <v>34.5</v>
      </c>
      <c r="AB40" s="2">
        <f t="shared" si="6"/>
        <v>92.5</v>
      </c>
      <c r="AC40" s="2">
        <f t="shared" si="7"/>
        <v>341.5</v>
      </c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1:49" x14ac:dyDescent="0.25">
      <c r="A41" s="51" t="s">
        <v>174</v>
      </c>
      <c r="B41" s="2">
        <v>80</v>
      </c>
      <c r="C41" s="2">
        <v>89</v>
      </c>
      <c r="D41" s="2">
        <v>73</v>
      </c>
      <c r="E41" s="2">
        <v>86</v>
      </c>
      <c r="F41" s="2">
        <v>28.5</v>
      </c>
      <c r="G41" s="2">
        <f t="shared" si="8"/>
        <v>114.5</v>
      </c>
      <c r="H41" s="2">
        <f t="shared" si="9"/>
        <v>356.5</v>
      </c>
      <c r="I41" s="2">
        <v>66</v>
      </c>
      <c r="J41" s="2">
        <v>82</v>
      </c>
      <c r="K41" s="2">
        <v>70</v>
      </c>
      <c r="L41" s="2">
        <v>69</v>
      </c>
      <c r="M41" s="2">
        <v>21</v>
      </c>
      <c r="N41" s="12">
        <f t="shared" si="11"/>
        <v>90</v>
      </c>
      <c r="O41" s="2">
        <f t="shared" si="10"/>
        <v>308</v>
      </c>
      <c r="P41" s="2">
        <v>76</v>
      </c>
      <c r="Q41" s="2">
        <v>72</v>
      </c>
      <c r="R41" s="2">
        <v>74</v>
      </c>
      <c r="S41" s="2">
        <v>56</v>
      </c>
      <c r="T41" s="2">
        <v>36</v>
      </c>
      <c r="U41" s="2">
        <f t="shared" si="4"/>
        <v>92</v>
      </c>
      <c r="V41" s="2">
        <f t="shared" si="5"/>
        <v>314</v>
      </c>
      <c r="W41" s="2">
        <v>82</v>
      </c>
      <c r="X41" s="2">
        <v>73</v>
      </c>
      <c r="Y41" s="2">
        <v>76</v>
      </c>
      <c r="Z41" s="2">
        <v>70</v>
      </c>
      <c r="AA41" s="2">
        <v>37.5</v>
      </c>
      <c r="AB41" s="2">
        <f t="shared" si="6"/>
        <v>107.5</v>
      </c>
      <c r="AC41" s="2">
        <f t="shared" si="7"/>
        <v>338.5</v>
      </c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1:49" x14ac:dyDescent="0.25">
      <c r="A42" s="51" t="s">
        <v>175</v>
      </c>
      <c r="B42" s="2">
        <v>70</v>
      </c>
      <c r="C42" s="2">
        <v>72</v>
      </c>
      <c r="D42" s="2">
        <v>72</v>
      </c>
      <c r="E42" s="2">
        <v>78</v>
      </c>
      <c r="F42" s="2">
        <v>25.5</v>
      </c>
      <c r="G42" s="2">
        <f t="shared" si="8"/>
        <v>103.5</v>
      </c>
      <c r="H42" s="2">
        <f t="shared" si="9"/>
        <v>317.5</v>
      </c>
      <c r="I42" s="2">
        <v>58</v>
      </c>
      <c r="J42" s="2">
        <v>67</v>
      </c>
      <c r="K42" s="2">
        <v>72</v>
      </c>
      <c r="L42" s="2">
        <v>32</v>
      </c>
      <c r="M42" s="2">
        <v>22</v>
      </c>
      <c r="N42" s="12">
        <f t="shared" si="11"/>
        <v>54</v>
      </c>
      <c r="O42" s="2">
        <f t="shared" si="10"/>
        <v>251</v>
      </c>
      <c r="P42" s="2">
        <v>76</v>
      </c>
      <c r="Q42" s="2">
        <v>60</v>
      </c>
      <c r="R42" s="2">
        <v>82</v>
      </c>
      <c r="S42" s="2">
        <v>38</v>
      </c>
      <c r="T42" s="2">
        <v>34.5</v>
      </c>
      <c r="U42" s="2">
        <f t="shared" si="4"/>
        <v>72.5</v>
      </c>
      <c r="V42" s="2">
        <f t="shared" si="5"/>
        <v>290.5</v>
      </c>
      <c r="W42" s="2">
        <v>64</v>
      </c>
      <c r="X42" s="2">
        <v>74</v>
      </c>
      <c r="Y42" s="2">
        <v>54</v>
      </c>
      <c r="Z42" s="2">
        <v>60</v>
      </c>
      <c r="AA42" s="2">
        <v>30</v>
      </c>
      <c r="AB42" s="2">
        <f t="shared" si="6"/>
        <v>90</v>
      </c>
      <c r="AC42" s="2">
        <f t="shared" si="7"/>
        <v>282</v>
      </c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1:49" x14ac:dyDescent="0.25">
      <c r="A43" s="51" t="s">
        <v>176</v>
      </c>
      <c r="B43" s="2">
        <v>86</v>
      </c>
      <c r="C43" s="2">
        <v>89</v>
      </c>
      <c r="D43" s="2">
        <v>71</v>
      </c>
      <c r="E43" s="2">
        <v>92</v>
      </c>
      <c r="F43" s="2">
        <v>33</v>
      </c>
      <c r="G43" s="2">
        <f t="shared" si="8"/>
        <v>125</v>
      </c>
      <c r="H43" s="2">
        <f t="shared" si="9"/>
        <v>371</v>
      </c>
      <c r="I43" s="2">
        <v>72</v>
      </c>
      <c r="J43" s="2">
        <v>71</v>
      </c>
      <c r="K43" s="2">
        <v>82</v>
      </c>
      <c r="L43" s="2">
        <v>59</v>
      </c>
      <c r="M43" s="2">
        <v>21</v>
      </c>
      <c r="N43" s="12">
        <f t="shared" si="11"/>
        <v>80</v>
      </c>
      <c r="O43" s="2">
        <f t="shared" si="10"/>
        <v>305</v>
      </c>
      <c r="P43" s="2">
        <v>92</v>
      </c>
      <c r="Q43" s="2">
        <v>84</v>
      </c>
      <c r="R43" s="2">
        <v>86</v>
      </c>
      <c r="S43" s="2">
        <v>70</v>
      </c>
      <c r="T43" s="2">
        <v>37.5</v>
      </c>
      <c r="U43" s="2">
        <f t="shared" si="4"/>
        <v>107.5</v>
      </c>
      <c r="V43" s="2">
        <f t="shared" si="5"/>
        <v>369.5</v>
      </c>
      <c r="W43" s="2">
        <v>92</v>
      </c>
      <c r="X43" s="2">
        <v>95</v>
      </c>
      <c r="Y43" s="2">
        <v>76</v>
      </c>
      <c r="Z43" s="2">
        <v>79</v>
      </c>
      <c r="AA43" s="2">
        <v>39</v>
      </c>
      <c r="AB43" s="2">
        <f t="shared" si="6"/>
        <v>118</v>
      </c>
      <c r="AC43" s="2">
        <f t="shared" si="7"/>
        <v>381</v>
      </c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1:49" x14ac:dyDescent="0.25">
      <c r="A44" s="51" t="s">
        <v>177</v>
      </c>
      <c r="B44" s="2">
        <v>82</v>
      </c>
      <c r="C44" s="2">
        <v>86</v>
      </c>
      <c r="D44" s="2">
        <v>67</v>
      </c>
      <c r="E44" s="2">
        <v>83</v>
      </c>
      <c r="F44" s="2">
        <v>27</v>
      </c>
      <c r="G44" s="2">
        <f t="shared" si="8"/>
        <v>110</v>
      </c>
      <c r="H44" s="2">
        <f t="shared" si="9"/>
        <v>345</v>
      </c>
      <c r="I44" s="2">
        <v>66</v>
      </c>
      <c r="J44" s="2"/>
      <c r="K44" s="2">
        <v>78</v>
      </c>
      <c r="L44" s="2">
        <v>59</v>
      </c>
      <c r="M44" s="2">
        <v>21</v>
      </c>
      <c r="N44" s="12">
        <f t="shared" si="11"/>
        <v>80</v>
      </c>
      <c r="O44" s="2">
        <f t="shared" si="10"/>
        <v>224</v>
      </c>
      <c r="P44" s="2">
        <v>86</v>
      </c>
      <c r="Q44" s="2">
        <v>70</v>
      </c>
      <c r="R44" s="2">
        <v>60</v>
      </c>
      <c r="S44" s="2">
        <v>28</v>
      </c>
      <c r="T44" s="2">
        <v>34.5</v>
      </c>
      <c r="U44" s="2">
        <f t="shared" si="4"/>
        <v>62.5</v>
      </c>
      <c r="V44" s="2">
        <f t="shared" si="5"/>
        <v>278.5</v>
      </c>
      <c r="W44" s="2">
        <v>78</v>
      </c>
      <c r="X44" s="2">
        <v>82</v>
      </c>
      <c r="Y44" s="2">
        <v>64</v>
      </c>
      <c r="Z44" s="2">
        <v>77</v>
      </c>
      <c r="AA44" s="2">
        <v>36</v>
      </c>
      <c r="AB44" s="2">
        <f t="shared" si="6"/>
        <v>113</v>
      </c>
      <c r="AC44" s="2">
        <f t="shared" si="7"/>
        <v>337</v>
      </c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spans="1:49" x14ac:dyDescent="0.25">
      <c r="A45" s="51" t="s">
        <v>178</v>
      </c>
      <c r="B45" s="2">
        <v>74</v>
      </c>
      <c r="C45" s="2">
        <v>94</v>
      </c>
      <c r="D45" s="2">
        <v>74</v>
      </c>
      <c r="E45" s="2">
        <v>95</v>
      </c>
      <c r="F45" s="2">
        <v>33</v>
      </c>
      <c r="G45" s="2">
        <f t="shared" si="8"/>
        <v>128</v>
      </c>
      <c r="H45" s="2">
        <f t="shared" si="9"/>
        <v>370</v>
      </c>
      <c r="I45" s="2">
        <v>70</v>
      </c>
      <c r="J45" s="2">
        <v>94</v>
      </c>
      <c r="K45" s="2">
        <v>80</v>
      </c>
      <c r="L45" s="2">
        <v>91</v>
      </c>
      <c r="M45" s="2">
        <v>24</v>
      </c>
      <c r="N45" s="12">
        <f t="shared" si="11"/>
        <v>115</v>
      </c>
      <c r="O45" s="2">
        <f t="shared" si="10"/>
        <v>359</v>
      </c>
      <c r="P45" s="2">
        <v>80</v>
      </c>
      <c r="Q45" s="2">
        <v>93</v>
      </c>
      <c r="R45" s="2">
        <v>86</v>
      </c>
      <c r="S45" s="2">
        <v>97</v>
      </c>
      <c r="T45" s="2">
        <v>36</v>
      </c>
      <c r="U45" s="2">
        <f t="shared" si="4"/>
        <v>133</v>
      </c>
      <c r="V45" s="2">
        <f t="shared" si="5"/>
        <v>392</v>
      </c>
      <c r="W45" s="2">
        <v>96</v>
      </c>
      <c r="X45" s="2">
        <v>92</v>
      </c>
      <c r="Y45" s="2">
        <v>78</v>
      </c>
      <c r="Z45" s="2">
        <v>98</v>
      </c>
      <c r="AA45" s="2">
        <v>33</v>
      </c>
      <c r="AB45" s="2">
        <f t="shared" si="6"/>
        <v>131</v>
      </c>
      <c r="AC45" s="2">
        <f t="shared" si="7"/>
        <v>397</v>
      </c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1:49" x14ac:dyDescent="0.25">
      <c r="A46" s="12" t="s">
        <v>179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>
        <v>70</v>
      </c>
      <c r="Q46" s="2">
        <v>48</v>
      </c>
      <c r="R46" s="2">
        <v>72</v>
      </c>
      <c r="S46" s="2">
        <v>41</v>
      </c>
      <c r="T46" s="2">
        <v>27</v>
      </c>
      <c r="U46" s="2">
        <v>68</v>
      </c>
      <c r="V46" s="2">
        <f t="shared" si="5"/>
        <v>258</v>
      </c>
      <c r="W46" s="2">
        <v>88</v>
      </c>
      <c r="X46" s="2">
        <v>46</v>
      </c>
      <c r="Y46" s="2">
        <v>52</v>
      </c>
      <c r="Z46" s="2">
        <v>51</v>
      </c>
      <c r="AA46" s="2">
        <v>25.5</v>
      </c>
      <c r="AB46" s="2">
        <f t="shared" si="6"/>
        <v>76.5</v>
      </c>
      <c r="AC46" s="2">
        <f t="shared" si="7"/>
        <v>262.5</v>
      </c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</sheetData>
  <sheetProtection formatCells="0" formatColumns="0" formatRows="0" insertColumns="0" insertRows="0" insertHyperlinks="0" deleteColumns="0" deleteRows="0" sort="0" autoFilter="0" pivotTables="0"/>
  <mergeCells count="4">
    <mergeCell ref="W1:AC1"/>
    <mergeCell ref="B1:H1"/>
    <mergeCell ref="I1:O1"/>
    <mergeCell ref="P1:V1"/>
  </mergeCells>
  <phoneticPr fontId="1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50"/>
  <sheetViews>
    <sheetView zoomScale="55" zoomScaleNormal="55" workbookViewId="0">
      <pane xSplit="1" topLeftCell="B1" activePane="topRight" state="frozen"/>
      <selection pane="topRight" activeCell="Y2" activeCellId="3" sqref="D2 K2 R2 Y2"/>
    </sheetView>
  </sheetViews>
  <sheetFormatPr defaultColWidth="9.6328125" defaultRowHeight="14" x14ac:dyDescent="0.25"/>
  <cols>
    <col min="1" max="1" width="14.08984375" customWidth="1"/>
    <col min="2" max="2" width="9.90625" customWidth="1"/>
    <col min="3" max="3" width="9.08984375" customWidth="1"/>
    <col min="4" max="4" width="10.36328125" customWidth="1"/>
    <col min="5" max="5" width="11.08984375" customWidth="1"/>
    <col min="6" max="6" width="10.36328125" customWidth="1"/>
    <col min="7" max="7" width="10.7265625" customWidth="1"/>
    <col min="8" max="8" width="8.7265625" customWidth="1"/>
    <col min="9" max="13" width="10.36328125" customWidth="1"/>
    <col min="14" max="15" width="9.6328125" customWidth="1"/>
    <col min="16" max="20" width="10.36328125" customWidth="1"/>
    <col min="21" max="22" width="9.6328125" customWidth="1"/>
    <col min="23" max="27" width="10.36328125"/>
  </cols>
  <sheetData>
    <row r="1" spans="1:29" ht="27.4" customHeight="1" x14ac:dyDescent="0.25">
      <c r="A1" s="4" t="s">
        <v>94</v>
      </c>
      <c r="B1" s="96" t="s">
        <v>526</v>
      </c>
      <c r="C1" s="95"/>
      <c r="D1" s="95"/>
      <c r="E1" s="95"/>
      <c r="F1" s="95"/>
      <c r="G1" s="95"/>
      <c r="H1" s="95"/>
      <c r="I1" s="94" t="s">
        <v>1</v>
      </c>
      <c r="J1" s="95"/>
      <c r="K1" s="95"/>
      <c r="L1" s="95"/>
      <c r="M1" s="95"/>
      <c r="N1" s="95"/>
      <c r="O1" s="95"/>
      <c r="P1" s="95" t="s">
        <v>2</v>
      </c>
      <c r="Q1" s="95"/>
      <c r="R1" s="95"/>
      <c r="S1" s="95"/>
      <c r="T1" s="95"/>
      <c r="U1" s="95"/>
      <c r="V1" s="95"/>
      <c r="W1" s="94" t="s">
        <v>38</v>
      </c>
      <c r="X1" s="95"/>
      <c r="Y1" s="95"/>
      <c r="Z1" s="95"/>
      <c r="AA1" s="95"/>
      <c r="AB1" s="95"/>
      <c r="AC1" s="95"/>
    </row>
    <row r="2" spans="1:29" ht="17.5" x14ac:dyDescent="0.25">
      <c r="A2" s="19" t="s">
        <v>5</v>
      </c>
      <c r="B2" s="30" t="s">
        <v>3</v>
      </c>
      <c r="C2" s="30" t="s">
        <v>4</v>
      </c>
      <c r="D2" s="79" t="s">
        <v>531</v>
      </c>
      <c r="E2" s="30" t="s">
        <v>6</v>
      </c>
      <c r="F2" s="19" t="s">
        <v>95</v>
      </c>
      <c r="G2" s="35" t="s">
        <v>8</v>
      </c>
      <c r="H2" s="30" t="s">
        <v>9</v>
      </c>
      <c r="I2" s="36" t="s">
        <v>3</v>
      </c>
      <c r="J2" s="36" t="s">
        <v>4</v>
      </c>
      <c r="K2" s="79" t="s">
        <v>531</v>
      </c>
      <c r="L2" s="36" t="s">
        <v>6</v>
      </c>
      <c r="M2" s="37" t="s">
        <v>95</v>
      </c>
      <c r="N2" s="38" t="s">
        <v>8</v>
      </c>
      <c r="O2" s="36" t="s">
        <v>9</v>
      </c>
      <c r="P2" s="36" t="s">
        <v>3</v>
      </c>
      <c r="Q2" s="36" t="s">
        <v>4</v>
      </c>
      <c r="R2" s="79" t="s">
        <v>531</v>
      </c>
      <c r="S2" s="36" t="s">
        <v>6</v>
      </c>
      <c r="T2" s="37" t="s">
        <v>95</v>
      </c>
      <c r="U2" s="38" t="s">
        <v>8</v>
      </c>
      <c r="V2" s="36" t="s">
        <v>9</v>
      </c>
      <c r="W2" s="36" t="s">
        <v>3</v>
      </c>
      <c r="X2" s="36" t="s">
        <v>4</v>
      </c>
      <c r="Y2" s="79" t="s">
        <v>531</v>
      </c>
      <c r="Z2" s="36" t="s">
        <v>6</v>
      </c>
      <c r="AA2" s="37" t="s">
        <v>95</v>
      </c>
      <c r="AB2" s="38" t="s">
        <v>8</v>
      </c>
      <c r="AC2" s="36" t="s">
        <v>9</v>
      </c>
    </row>
    <row r="3" spans="1:29" ht="17.5" x14ac:dyDescent="0.25">
      <c r="A3" s="19" t="s">
        <v>180</v>
      </c>
      <c r="B3" s="31">
        <v>64</v>
      </c>
      <c r="C3" s="31">
        <v>58</v>
      </c>
      <c r="D3" s="31">
        <v>40</v>
      </c>
      <c r="E3" s="31">
        <v>48</v>
      </c>
      <c r="F3" s="31">
        <v>22.5</v>
      </c>
      <c r="G3" s="31">
        <f t="shared" ref="G3:G23" si="0">SUM(E3,F3)</f>
        <v>70.5</v>
      </c>
      <c r="H3" s="31">
        <f t="shared" ref="H3:H23" si="1">SUM(B3,C3,D3,G3)</f>
        <v>232.5</v>
      </c>
      <c r="I3" s="31">
        <v>52</v>
      </c>
      <c r="J3" s="31">
        <v>38</v>
      </c>
      <c r="K3" s="31">
        <v>46</v>
      </c>
      <c r="L3" s="31">
        <v>52</v>
      </c>
      <c r="M3" s="39">
        <v>30</v>
      </c>
      <c r="N3" s="31">
        <f t="shared" ref="N3:N17" si="2">SUM(L3,M3)</f>
        <v>82</v>
      </c>
      <c r="O3" s="31">
        <f t="shared" ref="O3:O17" si="3">SUM(I3,J3,K3,N3)</f>
        <v>218</v>
      </c>
      <c r="P3" s="31">
        <v>68</v>
      </c>
      <c r="Q3" s="31">
        <v>49</v>
      </c>
      <c r="R3" s="31">
        <v>54</v>
      </c>
      <c r="S3" s="31">
        <v>75</v>
      </c>
      <c r="T3" s="31">
        <v>22.5</v>
      </c>
      <c r="U3" s="31">
        <f t="shared" ref="U3:U45" si="4">SUM(S3,T3)</f>
        <v>97.5</v>
      </c>
      <c r="V3" s="31">
        <f t="shared" ref="V3:V45" si="5">SUM(P3,Q3,R3,U3)</f>
        <v>268.5</v>
      </c>
      <c r="W3" s="31">
        <v>72</v>
      </c>
      <c r="X3" s="31">
        <v>51</v>
      </c>
      <c r="Y3" s="31">
        <v>50</v>
      </c>
      <c r="Z3" s="31">
        <v>57</v>
      </c>
      <c r="AA3" s="31">
        <v>24</v>
      </c>
      <c r="AB3" s="31">
        <f t="shared" ref="AB3:AB50" si="6">SUM(Z3,AA3)</f>
        <v>81</v>
      </c>
      <c r="AC3" s="31">
        <f t="shared" ref="AC3:AC50" si="7">SUM(W3,X3,Y3,AB3)</f>
        <v>254</v>
      </c>
    </row>
    <row r="4" spans="1:29" ht="17.5" x14ac:dyDescent="0.25">
      <c r="A4" s="19" t="s">
        <v>181</v>
      </c>
      <c r="B4" s="31">
        <v>56</v>
      </c>
      <c r="C4" s="31">
        <v>59</v>
      </c>
      <c r="D4" s="31">
        <v>62</v>
      </c>
      <c r="E4" s="31">
        <v>81</v>
      </c>
      <c r="F4" s="31">
        <v>31.5</v>
      </c>
      <c r="G4" s="31">
        <f t="shared" si="0"/>
        <v>112.5</v>
      </c>
      <c r="H4" s="31">
        <f t="shared" si="1"/>
        <v>289.5</v>
      </c>
      <c r="I4" s="6"/>
      <c r="J4" s="6"/>
      <c r="K4" s="6"/>
      <c r="L4" s="6"/>
      <c r="M4" s="6"/>
      <c r="N4" s="6"/>
      <c r="O4" s="6"/>
      <c r="P4" s="31">
        <v>66</v>
      </c>
      <c r="Q4" s="6">
        <v>60</v>
      </c>
      <c r="R4" s="31">
        <v>72</v>
      </c>
      <c r="S4" s="31">
        <v>47</v>
      </c>
      <c r="T4" s="31">
        <v>28.5</v>
      </c>
      <c r="U4" s="31">
        <f t="shared" si="4"/>
        <v>75.5</v>
      </c>
      <c r="V4" s="31">
        <f t="shared" si="5"/>
        <v>273.5</v>
      </c>
      <c r="W4" s="31">
        <v>74</v>
      </c>
      <c r="X4" s="31">
        <v>64</v>
      </c>
      <c r="Y4" s="31">
        <v>66</v>
      </c>
      <c r="Z4" s="31">
        <v>64</v>
      </c>
      <c r="AA4" s="31">
        <v>30</v>
      </c>
      <c r="AB4" s="31">
        <f t="shared" si="6"/>
        <v>94</v>
      </c>
      <c r="AC4" s="31">
        <f t="shared" si="7"/>
        <v>298</v>
      </c>
    </row>
    <row r="5" spans="1:29" ht="17.5" x14ac:dyDescent="0.25">
      <c r="A5" s="19" t="s">
        <v>182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31">
        <v>82</v>
      </c>
      <c r="X5" s="31">
        <v>68</v>
      </c>
      <c r="Y5" s="31">
        <v>72</v>
      </c>
      <c r="Z5" s="31">
        <v>46</v>
      </c>
      <c r="AA5" s="31">
        <v>34.5</v>
      </c>
      <c r="AB5" s="31">
        <f t="shared" si="6"/>
        <v>80.5</v>
      </c>
      <c r="AC5" s="31">
        <f t="shared" si="7"/>
        <v>302.5</v>
      </c>
    </row>
    <row r="6" spans="1:29" ht="17.5" x14ac:dyDescent="0.25">
      <c r="A6" s="19" t="s">
        <v>183</v>
      </c>
      <c r="B6" s="31">
        <v>84</v>
      </c>
      <c r="C6" s="31">
        <v>76</v>
      </c>
      <c r="D6" s="31">
        <v>66</v>
      </c>
      <c r="E6" s="31">
        <v>84</v>
      </c>
      <c r="F6" s="31">
        <v>34.5</v>
      </c>
      <c r="G6" s="31">
        <f t="shared" si="0"/>
        <v>118.5</v>
      </c>
      <c r="H6" s="31">
        <f t="shared" si="1"/>
        <v>344.5</v>
      </c>
      <c r="I6" s="31">
        <v>56</v>
      </c>
      <c r="J6" s="31">
        <v>90</v>
      </c>
      <c r="K6" s="31">
        <v>84</v>
      </c>
      <c r="L6" s="31">
        <v>78</v>
      </c>
      <c r="M6" s="7">
        <v>38</v>
      </c>
      <c r="N6" s="31">
        <f t="shared" si="2"/>
        <v>116</v>
      </c>
      <c r="O6" s="31">
        <f t="shared" si="3"/>
        <v>346</v>
      </c>
      <c r="P6" s="31">
        <v>76</v>
      </c>
      <c r="Q6" s="31">
        <v>54</v>
      </c>
      <c r="R6" s="31">
        <v>68</v>
      </c>
      <c r="S6" s="31">
        <v>84</v>
      </c>
      <c r="T6" s="31">
        <v>36</v>
      </c>
      <c r="U6" s="31">
        <f t="shared" si="4"/>
        <v>120</v>
      </c>
      <c r="V6" s="31">
        <f t="shared" si="5"/>
        <v>318</v>
      </c>
      <c r="W6" s="31">
        <v>78</v>
      </c>
      <c r="X6" s="31">
        <v>66</v>
      </c>
      <c r="Y6" s="31">
        <v>60</v>
      </c>
      <c r="Z6" s="31">
        <v>86</v>
      </c>
      <c r="AA6" s="31">
        <v>34.5</v>
      </c>
      <c r="AB6" s="31">
        <f t="shared" si="6"/>
        <v>120.5</v>
      </c>
      <c r="AC6" s="31">
        <f t="shared" si="7"/>
        <v>324.5</v>
      </c>
    </row>
    <row r="7" spans="1:29" ht="17.5" x14ac:dyDescent="0.25">
      <c r="A7" s="19" t="s">
        <v>184</v>
      </c>
      <c r="B7" s="31">
        <v>46</v>
      </c>
      <c r="C7" s="31">
        <v>60</v>
      </c>
      <c r="D7" s="31">
        <v>65</v>
      </c>
      <c r="E7" s="31">
        <v>60</v>
      </c>
      <c r="F7" s="31">
        <v>36</v>
      </c>
      <c r="G7" s="31">
        <f t="shared" si="0"/>
        <v>96</v>
      </c>
      <c r="H7" s="31">
        <f t="shared" si="1"/>
        <v>267</v>
      </c>
      <c r="I7" s="31">
        <v>64</v>
      </c>
      <c r="J7" s="31">
        <v>63</v>
      </c>
      <c r="K7" s="31">
        <v>62</v>
      </c>
      <c r="L7" s="31">
        <v>64</v>
      </c>
      <c r="M7" s="7">
        <v>32</v>
      </c>
      <c r="N7" s="31">
        <f t="shared" si="2"/>
        <v>96</v>
      </c>
      <c r="O7" s="31">
        <f t="shared" si="3"/>
        <v>285</v>
      </c>
      <c r="P7" s="31">
        <v>72</v>
      </c>
      <c r="Q7" s="31">
        <v>41</v>
      </c>
      <c r="R7" s="31">
        <v>64</v>
      </c>
      <c r="S7" s="31">
        <v>62</v>
      </c>
      <c r="T7" s="31">
        <v>34.5</v>
      </c>
      <c r="U7" s="31">
        <f t="shared" si="4"/>
        <v>96.5</v>
      </c>
      <c r="V7" s="31">
        <f t="shared" si="5"/>
        <v>273.5</v>
      </c>
      <c r="W7" s="31">
        <v>58</v>
      </c>
      <c r="X7" s="31">
        <v>66</v>
      </c>
      <c r="Y7" s="31">
        <v>54</v>
      </c>
      <c r="Z7" s="31">
        <v>46</v>
      </c>
      <c r="AA7" s="31">
        <v>36</v>
      </c>
      <c r="AB7" s="31">
        <f t="shared" si="6"/>
        <v>82</v>
      </c>
      <c r="AC7" s="31">
        <f t="shared" si="7"/>
        <v>260</v>
      </c>
    </row>
    <row r="8" spans="1:29" ht="17.5" x14ac:dyDescent="0.25">
      <c r="A8" s="19" t="s">
        <v>185</v>
      </c>
      <c r="B8" s="31">
        <v>86</v>
      </c>
      <c r="C8" s="31">
        <v>90</v>
      </c>
      <c r="D8" s="31">
        <v>71</v>
      </c>
      <c r="E8" s="31">
        <v>86</v>
      </c>
      <c r="F8" s="31">
        <v>42</v>
      </c>
      <c r="G8" s="31">
        <f t="shared" si="0"/>
        <v>128</v>
      </c>
      <c r="H8" s="31">
        <f t="shared" si="1"/>
        <v>375</v>
      </c>
      <c r="I8" s="31">
        <v>84</v>
      </c>
      <c r="J8" s="31">
        <v>90</v>
      </c>
      <c r="K8" s="31">
        <v>84</v>
      </c>
      <c r="L8" s="31">
        <v>71</v>
      </c>
      <c r="M8" s="7">
        <v>42</v>
      </c>
      <c r="N8" s="31">
        <f t="shared" si="2"/>
        <v>113</v>
      </c>
      <c r="O8" s="31">
        <f t="shared" si="3"/>
        <v>371</v>
      </c>
      <c r="P8" s="6"/>
      <c r="Q8" s="6"/>
      <c r="R8" s="6"/>
      <c r="S8" s="6"/>
      <c r="T8" s="6"/>
      <c r="U8" s="6"/>
      <c r="V8" s="6"/>
      <c r="W8" s="31">
        <v>90</v>
      </c>
      <c r="X8" s="31">
        <v>94</v>
      </c>
      <c r="Y8" s="31">
        <v>78</v>
      </c>
      <c r="Z8" s="31">
        <v>76</v>
      </c>
      <c r="AA8" s="31">
        <v>42</v>
      </c>
      <c r="AB8" s="31">
        <f t="shared" si="6"/>
        <v>118</v>
      </c>
      <c r="AC8" s="31">
        <f t="shared" si="7"/>
        <v>380</v>
      </c>
    </row>
    <row r="9" spans="1:29" ht="17.5" x14ac:dyDescent="0.25">
      <c r="A9" s="19" t="s">
        <v>186</v>
      </c>
      <c r="B9" s="31">
        <v>72</v>
      </c>
      <c r="C9" s="31">
        <v>92</v>
      </c>
      <c r="D9" s="31">
        <v>70</v>
      </c>
      <c r="E9" s="31">
        <v>80</v>
      </c>
      <c r="F9" s="31">
        <v>39</v>
      </c>
      <c r="G9" s="31">
        <f t="shared" si="0"/>
        <v>119</v>
      </c>
      <c r="H9" s="31">
        <f t="shared" si="1"/>
        <v>353</v>
      </c>
      <c r="I9" s="31">
        <v>52</v>
      </c>
      <c r="J9" s="31">
        <v>85</v>
      </c>
      <c r="K9" s="31">
        <v>72</v>
      </c>
      <c r="L9" s="31">
        <v>70</v>
      </c>
      <c r="M9" s="7">
        <v>38</v>
      </c>
      <c r="N9" s="31">
        <f t="shared" si="2"/>
        <v>108</v>
      </c>
      <c r="O9" s="31">
        <f t="shared" si="3"/>
        <v>317</v>
      </c>
      <c r="P9" s="6"/>
      <c r="Q9" s="6"/>
      <c r="R9" s="6"/>
      <c r="S9" s="6"/>
      <c r="T9" s="6"/>
      <c r="U9" s="6"/>
      <c r="V9" s="6"/>
      <c r="W9" s="31">
        <v>80</v>
      </c>
      <c r="X9" s="31">
        <v>89</v>
      </c>
      <c r="Y9" s="31">
        <v>74</v>
      </c>
      <c r="Z9" s="31">
        <v>76</v>
      </c>
      <c r="AA9" s="31">
        <v>36</v>
      </c>
      <c r="AB9" s="31">
        <f t="shared" si="6"/>
        <v>112</v>
      </c>
      <c r="AC9" s="31">
        <f t="shared" si="7"/>
        <v>355</v>
      </c>
    </row>
    <row r="10" spans="1:29" ht="17.5" x14ac:dyDescent="0.25">
      <c r="A10" s="19" t="s">
        <v>187</v>
      </c>
      <c r="B10" s="31">
        <v>50</v>
      </c>
      <c r="C10" s="31">
        <v>69</v>
      </c>
      <c r="D10" s="31">
        <v>48</v>
      </c>
      <c r="E10" s="31">
        <v>71</v>
      </c>
      <c r="F10" s="31">
        <v>24</v>
      </c>
      <c r="G10" s="31">
        <f t="shared" si="0"/>
        <v>95</v>
      </c>
      <c r="H10" s="31">
        <f t="shared" si="1"/>
        <v>262</v>
      </c>
      <c r="I10" s="31">
        <v>40</v>
      </c>
      <c r="J10" s="31">
        <v>63</v>
      </c>
      <c r="K10" s="31">
        <v>64</v>
      </c>
      <c r="L10" s="31">
        <v>31</v>
      </c>
      <c r="M10" s="7">
        <v>30</v>
      </c>
      <c r="N10" s="31">
        <f t="shared" si="2"/>
        <v>61</v>
      </c>
      <c r="O10" s="31">
        <f t="shared" si="3"/>
        <v>228</v>
      </c>
      <c r="P10" s="31">
        <v>58</v>
      </c>
      <c r="Q10" s="31">
        <v>45</v>
      </c>
      <c r="R10" s="31">
        <v>62</v>
      </c>
      <c r="S10" s="31">
        <v>43</v>
      </c>
      <c r="T10" s="31">
        <v>30</v>
      </c>
      <c r="U10" s="31">
        <f t="shared" si="4"/>
        <v>73</v>
      </c>
      <c r="V10" s="31">
        <f t="shared" si="5"/>
        <v>238</v>
      </c>
      <c r="W10" s="31">
        <v>62</v>
      </c>
      <c r="X10" s="31">
        <v>68</v>
      </c>
      <c r="Y10" s="31">
        <v>56</v>
      </c>
      <c r="Z10" s="31">
        <v>49</v>
      </c>
      <c r="AA10" s="31">
        <v>27</v>
      </c>
      <c r="AB10" s="31">
        <f t="shared" si="6"/>
        <v>76</v>
      </c>
      <c r="AC10" s="31">
        <f t="shared" si="7"/>
        <v>262</v>
      </c>
    </row>
    <row r="11" spans="1:29" ht="17.5" x14ac:dyDescent="0.25">
      <c r="A11" s="19" t="s">
        <v>188</v>
      </c>
      <c r="B11" s="31">
        <v>58</v>
      </c>
      <c r="C11" s="31">
        <v>71</v>
      </c>
      <c r="D11" s="31">
        <v>56</v>
      </c>
      <c r="E11" s="31">
        <v>80</v>
      </c>
      <c r="F11" s="31">
        <v>37.5</v>
      </c>
      <c r="G11" s="31">
        <f t="shared" si="0"/>
        <v>117.5</v>
      </c>
      <c r="H11" s="31">
        <f t="shared" si="1"/>
        <v>302.5</v>
      </c>
      <c r="I11" s="31">
        <v>66</v>
      </c>
      <c r="J11" s="31">
        <v>81</v>
      </c>
      <c r="K11" s="31">
        <v>72</v>
      </c>
      <c r="L11" s="31">
        <v>66</v>
      </c>
      <c r="M11" s="7">
        <v>32</v>
      </c>
      <c r="N11" s="31">
        <f t="shared" si="2"/>
        <v>98</v>
      </c>
      <c r="O11" s="31">
        <f t="shared" si="3"/>
        <v>317</v>
      </c>
      <c r="P11" s="31">
        <v>74</v>
      </c>
      <c r="Q11" s="31">
        <v>73</v>
      </c>
      <c r="R11" s="31">
        <v>64</v>
      </c>
      <c r="S11" s="31">
        <v>56</v>
      </c>
      <c r="T11" s="31">
        <v>36</v>
      </c>
      <c r="U11" s="31">
        <f t="shared" si="4"/>
        <v>92</v>
      </c>
      <c r="V11" s="31">
        <f t="shared" si="5"/>
        <v>303</v>
      </c>
      <c r="W11" s="31">
        <v>64</v>
      </c>
      <c r="X11" s="31">
        <v>73</v>
      </c>
      <c r="Y11" s="31">
        <v>62</v>
      </c>
      <c r="Z11" s="31">
        <v>71</v>
      </c>
      <c r="AA11" s="31">
        <v>36</v>
      </c>
      <c r="AB11" s="31">
        <f t="shared" si="6"/>
        <v>107</v>
      </c>
      <c r="AC11" s="31">
        <f t="shared" si="7"/>
        <v>306</v>
      </c>
    </row>
    <row r="12" spans="1:29" ht="17.5" x14ac:dyDescent="0.25">
      <c r="A12" s="19" t="s">
        <v>189</v>
      </c>
      <c r="B12" s="31">
        <v>80</v>
      </c>
      <c r="C12" s="31">
        <v>85</v>
      </c>
      <c r="D12" s="31">
        <v>58</v>
      </c>
      <c r="E12" s="31">
        <v>79</v>
      </c>
      <c r="F12" s="31">
        <v>33</v>
      </c>
      <c r="G12" s="31">
        <f t="shared" si="0"/>
        <v>112</v>
      </c>
      <c r="H12" s="31">
        <f t="shared" si="1"/>
        <v>335</v>
      </c>
      <c r="I12" s="31">
        <v>64</v>
      </c>
      <c r="J12" s="31">
        <v>83</v>
      </c>
      <c r="K12" s="31">
        <v>48</v>
      </c>
      <c r="L12" s="31">
        <v>59</v>
      </c>
      <c r="M12" s="7">
        <v>32</v>
      </c>
      <c r="N12" s="31">
        <f t="shared" si="2"/>
        <v>91</v>
      </c>
      <c r="O12" s="31">
        <f t="shared" si="3"/>
        <v>286</v>
      </c>
      <c r="P12" s="31">
        <v>76</v>
      </c>
      <c r="Q12" s="31">
        <v>67</v>
      </c>
      <c r="R12" s="31">
        <v>66</v>
      </c>
      <c r="S12" s="31">
        <v>67</v>
      </c>
      <c r="T12" s="31">
        <v>33</v>
      </c>
      <c r="U12" s="31">
        <f t="shared" si="4"/>
        <v>100</v>
      </c>
      <c r="V12" s="31">
        <f t="shared" si="5"/>
        <v>309</v>
      </c>
      <c r="W12" s="31">
        <v>76</v>
      </c>
      <c r="X12" s="31">
        <v>88</v>
      </c>
      <c r="Y12" s="31">
        <v>60</v>
      </c>
      <c r="Z12" s="31">
        <v>66</v>
      </c>
      <c r="AA12" s="31">
        <v>33</v>
      </c>
      <c r="AB12" s="31">
        <f t="shared" si="6"/>
        <v>99</v>
      </c>
      <c r="AC12" s="31">
        <f t="shared" si="7"/>
        <v>323</v>
      </c>
    </row>
    <row r="13" spans="1:29" ht="17.5" x14ac:dyDescent="0.25">
      <c r="A13" s="19" t="s">
        <v>190</v>
      </c>
      <c r="B13" s="31">
        <v>78</v>
      </c>
      <c r="C13" s="31">
        <v>80</v>
      </c>
      <c r="D13" s="31">
        <v>75</v>
      </c>
      <c r="E13" s="31">
        <v>94</v>
      </c>
      <c r="F13" s="31">
        <v>37.5</v>
      </c>
      <c r="G13" s="31">
        <f t="shared" si="0"/>
        <v>131.5</v>
      </c>
      <c r="H13" s="31">
        <f t="shared" si="1"/>
        <v>364.5</v>
      </c>
      <c r="I13" s="31">
        <v>72</v>
      </c>
      <c r="J13" s="31">
        <v>92</v>
      </c>
      <c r="K13" s="31">
        <v>86</v>
      </c>
      <c r="L13" s="31">
        <v>80</v>
      </c>
      <c r="M13" s="7">
        <v>41</v>
      </c>
      <c r="N13" s="31">
        <f t="shared" si="2"/>
        <v>121</v>
      </c>
      <c r="O13" s="31">
        <f t="shared" si="3"/>
        <v>371</v>
      </c>
      <c r="P13" s="6"/>
      <c r="Q13" s="6"/>
      <c r="R13" s="6"/>
      <c r="S13" s="6"/>
      <c r="T13" s="6"/>
      <c r="U13" s="6"/>
      <c r="V13" s="6"/>
      <c r="W13" s="31">
        <v>76</v>
      </c>
      <c r="X13" s="31">
        <v>87</v>
      </c>
      <c r="Y13" s="31">
        <v>76</v>
      </c>
      <c r="Z13" s="31">
        <v>75</v>
      </c>
      <c r="AA13" s="31">
        <v>33</v>
      </c>
      <c r="AB13" s="31">
        <f t="shared" si="6"/>
        <v>108</v>
      </c>
      <c r="AC13" s="31">
        <f t="shared" si="7"/>
        <v>347</v>
      </c>
    </row>
    <row r="14" spans="1:29" ht="17.5" x14ac:dyDescent="0.25">
      <c r="A14" s="19" t="s">
        <v>191</v>
      </c>
      <c r="B14" s="31">
        <v>68</v>
      </c>
      <c r="C14" s="31">
        <v>88</v>
      </c>
      <c r="D14" s="31">
        <v>77</v>
      </c>
      <c r="E14" s="31">
        <v>73</v>
      </c>
      <c r="F14" s="31">
        <v>28.5</v>
      </c>
      <c r="G14" s="31">
        <f t="shared" si="0"/>
        <v>101.5</v>
      </c>
      <c r="H14" s="31">
        <f t="shared" si="1"/>
        <v>334.5</v>
      </c>
      <c r="I14" s="31">
        <v>58</v>
      </c>
      <c r="J14" s="31">
        <v>90</v>
      </c>
      <c r="K14" s="31">
        <v>64</v>
      </c>
      <c r="L14" s="31">
        <v>63</v>
      </c>
      <c r="M14" s="7">
        <v>36</v>
      </c>
      <c r="N14" s="31">
        <f t="shared" si="2"/>
        <v>99</v>
      </c>
      <c r="O14" s="31">
        <f t="shared" si="3"/>
        <v>311</v>
      </c>
      <c r="P14" s="31">
        <v>76</v>
      </c>
      <c r="Q14" s="31">
        <v>73</v>
      </c>
      <c r="R14" s="31">
        <v>82</v>
      </c>
      <c r="S14" s="31">
        <v>68</v>
      </c>
      <c r="T14" s="31">
        <v>36</v>
      </c>
      <c r="U14" s="31">
        <f t="shared" si="4"/>
        <v>104</v>
      </c>
      <c r="V14" s="31">
        <f t="shared" si="5"/>
        <v>335</v>
      </c>
      <c r="W14" s="31">
        <v>84</v>
      </c>
      <c r="X14" s="31">
        <v>89</v>
      </c>
      <c r="Y14" s="31">
        <v>68</v>
      </c>
      <c r="Z14" s="31">
        <v>75</v>
      </c>
      <c r="AA14" s="31">
        <v>37.5</v>
      </c>
      <c r="AB14" s="31">
        <f t="shared" si="6"/>
        <v>112.5</v>
      </c>
      <c r="AC14" s="31">
        <f t="shared" si="7"/>
        <v>353.5</v>
      </c>
    </row>
    <row r="15" spans="1:29" ht="17.5" x14ac:dyDescent="0.25">
      <c r="A15" s="19" t="s">
        <v>192</v>
      </c>
      <c r="B15" s="31">
        <v>76</v>
      </c>
      <c r="C15" s="31">
        <v>96</v>
      </c>
      <c r="D15" s="31">
        <v>84</v>
      </c>
      <c r="E15" s="31">
        <v>90</v>
      </c>
      <c r="F15" s="31">
        <v>42</v>
      </c>
      <c r="G15" s="31">
        <f t="shared" si="0"/>
        <v>132</v>
      </c>
      <c r="H15" s="31">
        <f t="shared" si="1"/>
        <v>388</v>
      </c>
      <c r="I15" s="31">
        <v>84</v>
      </c>
      <c r="J15" s="31">
        <v>99</v>
      </c>
      <c r="K15" s="31">
        <v>86</v>
      </c>
      <c r="L15" s="31">
        <v>84</v>
      </c>
      <c r="M15" s="7">
        <v>41</v>
      </c>
      <c r="N15" s="31">
        <f t="shared" si="2"/>
        <v>125</v>
      </c>
      <c r="O15" s="31">
        <f t="shared" si="3"/>
        <v>394</v>
      </c>
      <c r="P15" s="31">
        <v>90</v>
      </c>
      <c r="Q15" s="31">
        <v>100</v>
      </c>
      <c r="R15" s="31">
        <v>94</v>
      </c>
      <c r="S15" s="31">
        <v>98</v>
      </c>
      <c r="T15" s="31">
        <v>40.5</v>
      </c>
      <c r="U15" s="31">
        <f t="shared" si="4"/>
        <v>138.5</v>
      </c>
      <c r="V15" s="31">
        <f t="shared" si="5"/>
        <v>422.5</v>
      </c>
      <c r="W15" s="31">
        <v>96</v>
      </c>
      <c r="X15" s="31">
        <v>92</v>
      </c>
      <c r="Y15" s="31">
        <v>86</v>
      </c>
      <c r="Z15" s="31">
        <v>94</v>
      </c>
      <c r="AA15" s="31">
        <v>42</v>
      </c>
      <c r="AB15" s="31">
        <f t="shared" si="6"/>
        <v>136</v>
      </c>
      <c r="AC15" s="31">
        <f t="shared" si="7"/>
        <v>410</v>
      </c>
    </row>
    <row r="16" spans="1:29" ht="17.5" x14ac:dyDescent="0.25">
      <c r="A16" s="40" t="s">
        <v>193</v>
      </c>
      <c r="B16" s="31">
        <v>72</v>
      </c>
      <c r="C16" s="31">
        <v>99</v>
      </c>
      <c r="D16" s="31">
        <v>81</v>
      </c>
      <c r="E16" s="31">
        <v>90</v>
      </c>
      <c r="F16" s="31">
        <v>40.5</v>
      </c>
      <c r="G16" s="31">
        <f t="shared" si="0"/>
        <v>130.5</v>
      </c>
      <c r="H16" s="31">
        <f t="shared" si="1"/>
        <v>382.5</v>
      </c>
      <c r="I16" s="31">
        <v>78</v>
      </c>
      <c r="J16" s="31">
        <v>99</v>
      </c>
      <c r="K16" s="31">
        <v>76</v>
      </c>
      <c r="L16" s="31">
        <v>81</v>
      </c>
      <c r="M16" s="7">
        <v>38</v>
      </c>
      <c r="N16" s="31">
        <f t="shared" si="2"/>
        <v>119</v>
      </c>
      <c r="O16" s="31">
        <f t="shared" si="3"/>
        <v>372</v>
      </c>
      <c r="P16" s="31">
        <v>84</v>
      </c>
      <c r="Q16" s="31">
        <v>84</v>
      </c>
      <c r="R16" s="31">
        <v>76</v>
      </c>
      <c r="S16" s="31">
        <v>85</v>
      </c>
      <c r="T16" s="31">
        <v>36</v>
      </c>
      <c r="U16" s="31">
        <f t="shared" si="4"/>
        <v>121</v>
      </c>
      <c r="V16" s="31">
        <f t="shared" si="5"/>
        <v>365</v>
      </c>
      <c r="W16" s="31">
        <v>84</v>
      </c>
      <c r="X16" s="31">
        <v>98</v>
      </c>
      <c r="Y16" s="31">
        <v>82</v>
      </c>
      <c r="Z16" s="31">
        <v>81</v>
      </c>
      <c r="AA16" s="31">
        <v>33</v>
      </c>
      <c r="AB16" s="31">
        <f t="shared" si="6"/>
        <v>114</v>
      </c>
      <c r="AC16" s="31">
        <f t="shared" si="7"/>
        <v>378</v>
      </c>
    </row>
    <row r="17" spans="1:29" ht="17.5" x14ac:dyDescent="0.25">
      <c r="A17" s="40" t="s">
        <v>194</v>
      </c>
      <c r="B17" s="31">
        <v>80</v>
      </c>
      <c r="C17" s="31">
        <v>89</v>
      </c>
      <c r="D17" s="31">
        <v>76</v>
      </c>
      <c r="E17" s="31">
        <v>81</v>
      </c>
      <c r="F17" s="31">
        <v>27</v>
      </c>
      <c r="G17" s="31">
        <f t="shared" si="0"/>
        <v>108</v>
      </c>
      <c r="H17" s="31">
        <f t="shared" si="1"/>
        <v>353</v>
      </c>
      <c r="I17" s="31">
        <v>68</v>
      </c>
      <c r="J17" s="31">
        <v>76</v>
      </c>
      <c r="K17" s="31">
        <v>76</v>
      </c>
      <c r="L17" s="31">
        <v>53</v>
      </c>
      <c r="M17" s="7">
        <v>33</v>
      </c>
      <c r="N17" s="31">
        <f t="shared" si="2"/>
        <v>86</v>
      </c>
      <c r="O17" s="31">
        <f t="shared" si="3"/>
        <v>306</v>
      </c>
      <c r="P17" s="6"/>
      <c r="Q17" s="6"/>
      <c r="R17" s="6"/>
      <c r="S17" s="6"/>
      <c r="T17" s="6"/>
      <c r="U17" s="6"/>
      <c r="V17" s="6"/>
      <c r="W17" s="31">
        <v>78</v>
      </c>
      <c r="X17" s="31">
        <v>77</v>
      </c>
      <c r="Y17" s="31">
        <v>60</v>
      </c>
      <c r="Z17" s="31">
        <v>59</v>
      </c>
      <c r="AA17" s="31">
        <v>33</v>
      </c>
      <c r="AB17" s="31">
        <f t="shared" si="6"/>
        <v>92</v>
      </c>
      <c r="AC17" s="31">
        <f t="shared" si="7"/>
        <v>307</v>
      </c>
    </row>
    <row r="18" spans="1:29" ht="17.5" x14ac:dyDescent="0.25">
      <c r="A18" s="40" t="s">
        <v>195</v>
      </c>
      <c r="B18" s="31">
        <v>62</v>
      </c>
      <c r="C18" s="31">
        <v>66</v>
      </c>
      <c r="D18" s="31">
        <v>65</v>
      </c>
      <c r="E18" s="31">
        <v>77</v>
      </c>
      <c r="F18" s="31">
        <v>30</v>
      </c>
      <c r="G18" s="31">
        <f t="shared" si="0"/>
        <v>107</v>
      </c>
      <c r="H18" s="31">
        <f t="shared" si="1"/>
        <v>300</v>
      </c>
      <c r="I18" s="6"/>
      <c r="J18" s="6"/>
      <c r="K18" s="6"/>
      <c r="L18" s="6"/>
      <c r="M18" s="6"/>
      <c r="N18" s="6"/>
      <c r="O18" s="6"/>
      <c r="P18" s="31">
        <v>78</v>
      </c>
      <c r="Q18" s="6">
        <v>50</v>
      </c>
      <c r="R18" s="31">
        <v>84</v>
      </c>
      <c r="S18" s="31">
        <v>57</v>
      </c>
      <c r="T18" s="31">
        <v>33</v>
      </c>
      <c r="U18" s="31">
        <f t="shared" si="4"/>
        <v>90</v>
      </c>
      <c r="V18" s="31">
        <f t="shared" si="5"/>
        <v>302</v>
      </c>
      <c r="W18" s="31">
        <v>78</v>
      </c>
      <c r="X18" s="31">
        <v>78</v>
      </c>
      <c r="Y18" s="31">
        <v>58</v>
      </c>
      <c r="Z18" s="31">
        <v>42</v>
      </c>
      <c r="AA18" s="31">
        <v>33</v>
      </c>
      <c r="AB18" s="31">
        <f t="shared" si="6"/>
        <v>75</v>
      </c>
      <c r="AC18" s="31">
        <f t="shared" si="7"/>
        <v>289</v>
      </c>
    </row>
    <row r="19" spans="1:29" ht="17.5" x14ac:dyDescent="0.25">
      <c r="A19" s="40" t="s">
        <v>196</v>
      </c>
      <c r="B19" s="31">
        <v>82</v>
      </c>
      <c r="C19" s="31">
        <v>87</v>
      </c>
      <c r="D19" s="31">
        <v>71</v>
      </c>
      <c r="E19" s="31">
        <v>96</v>
      </c>
      <c r="F19" s="31">
        <v>31.5</v>
      </c>
      <c r="G19" s="31">
        <f t="shared" si="0"/>
        <v>127.5</v>
      </c>
      <c r="H19" s="31">
        <f t="shared" si="1"/>
        <v>367.5</v>
      </c>
      <c r="I19" s="31">
        <v>68</v>
      </c>
      <c r="J19" s="31">
        <v>99</v>
      </c>
      <c r="K19" s="31">
        <v>78</v>
      </c>
      <c r="L19" s="31">
        <v>87</v>
      </c>
      <c r="M19" s="7">
        <v>30</v>
      </c>
      <c r="N19" s="31">
        <f t="shared" ref="N19:N22" si="8">SUM(L19,M19)</f>
        <v>117</v>
      </c>
      <c r="O19" s="31">
        <f t="shared" ref="O19:O22" si="9">SUM(I19,J19,K19,N19)</f>
        <v>362</v>
      </c>
      <c r="P19" s="31">
        <v>84</v>
      </c>
      <c r="Q19" s="31">
        <v>89</v>
      </c>
      <c r="R19" s="31">
        <v>80</v>
      </c>
      <c r="S19" s="31">
        <v>97</v>
      </c>
      <c r="T19" s="31">
        <v>37.5</v>
      </c>
      <c r="U19" s="31">
        <f t="shared" si="4"/>
        <v>134.5</v>
      </c>
      <c r="V19" s="31">
        <f t="shared" si="5"/>
        <v>387.5</v>
      </c>
      <c r="W19" s="31">
        <v>84</v>
      </c>
      <c r="X19" s="31">
        <v>93</v>
      </c>
      <c r="Y19" s="31">
        <v>74</v>
      </c>
      <c r="Z19" s="31">
        <v>86</v>
      </c>
      <c r="AA19" s="31">
        <v>37.5</v>
      </c>
      <c r="AB19" s="31">
        <f t="shared" si="6"/>
        <v>123.5</v>
      </c>
      <c r="AC19" s="31">
        <f t="shared" si="7"/>
        <v>374.5</v>
      </c>
    </row>
    <row r="20" spans="1:29" ht="17.5" x14ac:dyDescent="0.25">
      <c r="A20" s="40" t="s">
        <v>197</v>
      </c>
      <c r="B20" s="31">
        <v>84</v>
      </c>
      <c r="C20" s="31">
        <v>96</v>
      </c>
      <c r="D20" s="31">
        <v>78</v>
      </c>
      <c r="E20" s="31">
        <v>92</v>
      </c>
      <c r="F20" s="31">
        <v>31.5</v>
      </c>
      <c r="G20" s="31">
        <f t="shared" si="0"/>
        <v>123.5</v>
      </c>
      <c r="H20" s="31">
        <f t="shared" si="1"/>
        <v>381.5</v>
      </c>
      <c r="I20" s="31">
        <v>72</v>
      </c>
      <c r="J20" s="31">
        <v>96</v>
      </c>
      <c r="K20" s="31">
        <v>82</v>
      </c>
      <c r="L20" s="31">
        <v>87</v>
      </c>
      <c r="M20" s="7">
        <v>35</v>
      </c>
      <c r="N20" s="31">
        <f t="shared" si="8"/>
        <v>122</v>
      </c>
      <c r="O20" s="31">
        <f t="shared" si="9"/>
        <v>372</v>
      </c>
      <c r="P20" s="31">
        <v>86</v>
      </c>
      <c r="Q20" s="31">
        <v>85</v>
      </c>
      <c r="R20" s="31">
        <v>96</v>
      </c>
      <c r="S20" s="31">
        <v>94</v>
      </c>
      <c r="T20" s="31">
        <v>33</v>
      </c>
      <c r="U20" s="31">
        <f t="shared" si="4"/>
        <v>127</v>
      </c>
      <c r="V20" s="31">
        <f t="shared" si="5"/>
        <v>394</v>
      </c>
      <c r="W20" s="31">
        <v>84</v>
      </c>
      <c r="X20" s="31">
        <v>96</v>
      </c>
      <c r="Y20" s="31">
        <v>82</v>
      </c>
      <c r="Z20" s="31">
        <v>90</v>
      </c>
      <c r="AA20" s="31">
        <v>33</v>
      </c>
      <c r="AB20" s="31">
        <f t="shared" si="6"/>
        <v>123</v>
      </c>
      <c r="AC20" s="31">
        <f t="shared" si="7"/>
        <v>385</v>
      </c>
    </row>
    <row r="21" spans="1:29" ht="17.5" x14ac:dyDescent="0.25">
      <c r="A21" s="40" t="s">
        <v>198</v>
      </c>
      <c r="B21" s="31">
        <v>86</v>
      </c>
      <c r="C21" s="31">
        <v>79</v>
      </c>
      <c r="D21" s="31">
        <v>81</v>
      </c>
      <c r="E21" s="31">
        <v>67</v>
      </c>
      <c r="F21" s="31">
        <v>27</v>
      </c>
      <c r="G21" s="31">
        <f t="shared" si="0"/>
        <v>94</v>
      </c>
      <c r="H21" s="31">
        <f t="shared" si="1"/>
        <v>340</v>
      </c>
      <c r="I21" s="31">
        <v>74</v>
      </c>
      <c r="J21" s="31">
        <v>76</v>
      </c>
      <c r="K21" s="31">
        <v>74</v>
      </c>
      <c r="L21" s="31">
        <v>63</v>
      </c>
      <c r="M21" s="7">
        <v>30</v>
      </c>
      <c r="N21" s="31">
        <f t="shared" si="8"/>
        <v>93</v>
      </c>
      <c r="O21" s="31">
        <f t="shared" si="9"/>
        <v>317</v>
      </c>
      <c r="P21" s="31">
        <v>88</v>
      </c>
      <c r="Q21" s="31">
        <v>64</v>
      </c>
      <c r="R21" s="31">
        <v>78</v>
      </c>
      <c r="S21" s="31">
        <v>55</v>
      </c>
      <c r="T21" s="31">
        <v>37.5</v>
      </c>
      <c r="U21" s="31">
        <f t="shared" si="4"/>
        <v>92.5</v>
      </c>
      <c r="V21" s="31">
        <f t="shared" si="5"/>
        <v>322.5</v>
      </c>
      <c r="W21" s="31">
        <v>88</v>
      </c>
      <c r="X21" s="31">
        <v>75</v>
      </c>
      <c r="Y21" s="31">
        <v>54</v>
      </c>
      <c r="Z21" s="31">
        <v>42</v>
      </c>
      <c r="AA21" s="31">
        <v>34.5</v>
      </c>
      <c r="AB21" s="31">
        <f t="shared" si="6"/>
        <v>76.5</v>
      </c>
      <c r="AC21" s="31">
        <f t="shared" si="7"/>
        <v>293.5</v>
      </c>
    </row>
    <row r="22" spans="1:29" ht="17.5" x14ac:dyDescent="0.25">
      <c r="A22" s="40" t="s">
        <v>199</v>
      </c>
      <c r="B22" s="31">
        <v>78</v>
      </c>
      <c r="C22" s="31">
        <v>70</v>
      </c>
      <c r="D22" s="31">
        <v>62</v>
      </c>
      <c r="E22" s="31">
        <v>66</v>
      </c>
      <c r="F22" s="31">
        <v>28.5</v>
      </c>
      <c r="G22" s="31">
        <f t="shared" si="0"/>
        <v>94.5</v>
      </c>
      <c r="H22" s="31">
        <f t="shared" si="1"/>
        <v>304.5</v>
      </c>
      <c r="I22" s="31">
        <v>58</v>
      </c>
      <c r="J22" s="31">
        <v>57</v>
      </c>
      <c r="K22" s="31">
        <v>58</v>
      </c>
      <c r="L22" s="31">
        <v>25</v>
      </c>
      <c r="M22" s="7">
        <v>35</v>
      </c>
      <c r="N22" s="31">
        <f t="shared" si="8"/>
        <v>60</v>
      </c>
      <c r="O22" s="31">
        <f t="shared" si="9"/>
        <v>233</v>
      </c>
      <c r="P22" s="31">
        <v>64</v>
      </c>
      <c r="Q22" s="31">
        <v>39</v>
      </c>
      <c r="R22" s="31">
        <v>70</v>
      </c>
      <c r="S22" s="31">
        <v>51</v>
      </c>
      <c r="T22" s="31">
        <v>39</v>
      </c>
      <c r="U22" s="31">
        <f t="shared" si="4"/>
        <v>90</v>
      </c>
      <c r="V22" s="31">
        <f t="shared" si="5"/>
        <v>263</v>
      </c>
      <c r="W22" s="31">
        <v>82</v>
      </c>
      <c r="X22" s="31">
        <v>64</v>
      </c>
      <c r="Y22" s="31">
        <v>64</v>
      </c>
      <c r="Z22" s="31">
        <v>54</v>
      </c>
      <c r="AA22" s="31">
        <v>37.5</v>
      </c>
      <c r="AB22" s="31">
        <f t="shared" si="6"/>
        <v>91.5</v>
      </c>
      <c r="AC22" s="31">
        <f t="shared" si="7"/>
        <v>301.5</v>
      </c>
    </row>
    <row r="23" spans="1:29" ht="17.5" x14ac:dyDescent="0.25">
      <c r="A23" s="40" t="s">
        <v>200</v>
      </c>
      <c r="B23" s="31">
        <v>70</v>
      </c>
      <c r="C23" s="31">
        <v>67</v>
      </c>
      <c r="D23" s="31">
        <v>53</v>
      </c>
      <c r="E23" s="31">
        <v>68</v>
      </c>
      <c r="F23" s="31">
        <v>31.5</v>
      </c>
      <c r="G23" s="31">
        <f t="shared" si="0"/>
        <v>99.5</v>
      </c>
      <c r="H23" s="31">
        <f t="shared" si="1"/>
        <v>289.5</v>
      </c>
      <c r="I23" s="6"/>
      <c r="J23" s="6"/>
      <c r="K23" s="6"/>
      <c r="L23" s="6"/>
      <c r="M23" s="6"/>
      <c r="N23" s="6"/>
      <c r="O23" s="6"/>
      <c r="P23" s="31">
        <v>72</v>
      </c>
      <c r="Q23" s="6">
        <v>67</v>
      </c>
      <c r="R23" s="31">
        <v>48</v>
      </c>
      <c r="S23" s="31">
        <v>37</v>
      </c>
      <c r="T23" s="31">
        <v>27</v>
      </c>
      <c r="U23" s="31">
        <f t="shared" si="4"/>
        <v>64</v>
      </c>
      <c r="V23" s="31">
        <f t="shared" si="5"/>
        <v>251</v>
      </c>
      <c r="W23" s="31">
        <v>64</v>
      </c>
      <c r="X23" s="31">
        <v>64</v>
      </c>
      <c r="Y23" s="31">
        <v>46</v>
      </c>
      <c r="Z23" s="31">
        <v>56</v>
      </c>
      <c r="AA23" s="31">
        <v>33</v>
      </c>
      <c r="AB23" s="31">
        <f t="shared" si="6"/>
        <v>89</v>
      </c>
      <c r="AC23" s="31">
        <f t="shared" si="7"/>
        <v>263</v>
      </c>
    </row>
    <row r="24" spans="1:29" ht="17.5" x14ac:dyDescent="0.25">
      <c r="A24" s="40" t="s">
        <v>201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ht="17.5" x14ac:dyDescent="0.25">
      <c r="A25" s="40" t="s">
        <v>202</v>
      </c>
      <c r="B25" s="31">
        <v>68</v>
      </c>
      <c r="C25" s="6">
        <v>81</v>
      </c>
      <c r="D25" s="31">
        <v>76</v>
      </c>
      <c r="E25" s="31">
        <v>92</v>
      </c>
      <c r="F25" s="31">
        <v>31.5</v>
      </c>
      <c r="G25" s="31">
        <f t="shared" ref="G25:G29" si="10">SUM(E25,F25)</f>
        <v>123.5</v>
      </c>
      <c r="H25" s="31">
        <f t="shared" ref="H25:H29" si="11">SUM(B25,C25,D25,G25)</f>
        <v>348.5</v>
      </c>
      <c r="I25" s="6"/>
      <c r="J25" s="6"/>
      <c r="K25" s="6"/>
      <c r="L25" s="6"/>
      <c r="M25" s="6"/>
      <c r="N25" s="6"/>
      <c r="O25" s="6"/>
      <c r="P25" s="31">
        <v>68</v>
      </c>
      <c r="Q25" s="6">
        <v>85</v>
      </c>
      <c r="R25" s="31">
        <v>72</v>
      </c>
      <c r="S25" s="31">
        <v>61</v>
      </c>
      <c r="T25" s="31">
        <v>36</v>
      </c>
      <c r="U25" s="31">
        <f t="shared" si="4"/>
        <v>97</v>
      </c>
      <c r="V25" s="31">
        <f t="shared" si="5"/>
        <v>322</v>
      </c>
      <c r="W25" s="31">
        <v>72</v>
      </c>
      <c r="X25" s="6">
        <v>89</v>
      </c>
      <c r="Y25" s="31">
        <v>72</v>
      </c>
      <c r="Z25" s="31">
        <v>72</v>
      </c>
      <c r="AA25" s="31">
        <v>31.5</v>
      </c>
      <c r="AB25" s="31">
        <f t="shared" si="6"/>
        <v>103.5</v>
      </c>
      <c r="AC25" s="31">
        <f t="shared" si="7"/>
        <v>336.5</v>
      </c>
    </row>
    <row r="26" spans="1:29" ht="17.5" x14ac:dyDescent="0.25">
      <c r="A26" s="40" t="s">
        <v>203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31">
        <v>48</v>
      </c>
      <c r="J26" s="31">
        <v>34</v>
      </c>
      <c r="K26" s="31">
        <v>46</v>
      </c>
      <c r="L26" s="31">
        <v>38</v>
      </c>
      <c r="M26" s="7">
        <v>32</v>
      </c>
      <c r="N26" s="31">
        <f t="shared" ref="N26:N32" si="12">SUM(L26,M26)</f>
        <v>70</v>
      </c>
      <c r="O26" s="31">
        <f t="shared" ref="O26:O32" si="13">SUM(I26,J26,K26,N26)</f>
        <v>198</v>
      </c>
      <c r="P26" s="31">
        <v>60</v>
      </c>
      <c r="Q26" s="31">
        <v>49</v>
      </c>
      <c r="R26" s="31">
        <v>52</v>
      </c>
      <c r="S26" s="31">
        <v>42</v>
      </c>
      <c r="T26" s="31">
        <v>30</v>
      </c>
      <c r="U26" s="31">
        <f t="shared" si="4"/>
        <v>72</v>
      </c>
      <c r="V26" s="31">
        <f t="shared" si="5"/>
        <v>233</v>
      </c>
      <c r="W26" s="31">
        <v>54</v>
      </c>
      <c r="X26" s="31">
        <v>66</v>
      </c>
      <c r="Y26" s="31">
        <v>38</v>
      </c>
      <c r="Z26" s="31">
        <v>54</v>
      </c>
      <c r="AA26" s="6">
        <v>31.5</v>
      </c>
      <c r="AB26" s="31">
        <f t="shared" si="6"/>
        <v>85.5</v>
      </c>
      <c r="AC26" s="31">
        <f t="shared" si="7"/>
        <v>243.5</v>
      </c>
    </row>
    <row r="27" spans="1:29" ht="17.5" x14ac:dyDescent="0.25">
      <c r="A27" s="40" t="s">
        <v>204</v>
      </c>
      <c r="B27" s="31">
        <v>86</v>
      </c>
      <c r="C27" s="31">
        <v>78</v>
      </c>
      <c r="D27" s="31">
        <v>66</v>
      </c>
      <c r="E27" s="31">
        <v>83</v>
      </c>
      <c r="F27" s="31">
        <v>31.5</v>
      </c>
      <c r="G27" s="31">
        <f t="shared" si="10"/>
        <v>114.5</v>
      </c>
      <c r="H27" s="31">
        <f t="shared" si="11"/>
        <v>344.5</v>
      </c>
      <c r="I27" s="31">
        <v>64</v>
      </c>
      <c r="J27" s="31"/>
      <c r="K27" s="31">
        <v>66</v>
      </c>
      <c r="L27" s="31">
        <v>55</v>
      </c>
      <c r="M27" s="7">
        <v>29</v>
      </c>
      <c r="N27" s="31">
        <f t="shared" si="12"/>
        <v>84</v>
      </c>
      <c r="O27" s="31">
        <f t="shared" si="13"/>
        <v>214</v>
      </c>
      <c r="P27" s="31">
        <v>74</v>
      </c>
      <c r="Q27" s="31">
        <v>77</v>
      </c>
      <c r="R27" s="31">
        <v>92</v>
      </c>
      <c r="S27" s="31">
        <v>41</v>
      </c>
      <c r="T27" s="31">
        <v>30</v>
      </c>
      <c r="U27" s="31">
        <f t="shared" si="4"/>
        <v>71</v>
      </c>
      <c r="V27" s="31">
        <f t="shared" si="5"/>
        <v>314</v>
      </c>
      <c r="W27" s="31">
        <v>80</v>
      </c>
      <c r="X27" s="31">
        <v>77</v>
      </c>
      <c r="Y27" s="31">
        <v>56</v>
      </c>
      <c r="Z27" s="31">
        <v>64</v>
      </c>
      <c r="AA27" s="31">
        <v>25.5</v>
      </c>
      <c r="AB27" s="31">
        <f t="shared" si="6"/>
        <v>89.5</v>
      </c>
      <c r="AC27" s="31">
        <f t="shared" si="7"/>
        <v>302.5</v>
      </c>
    </row>
    <row r="28" spans="1:29" ht="17.5" x14ac:dyDescent="0.25">
      <c r="A28" s="40" t="s">
        <v>205</v>
      </c>
      <c r="B28" s="31">
        <v>72</v>
      </c>
      <c r="C28" s="31">
        <v>97</v>
      </c>
      <c r="D28" s="31">
        <v>62</v>
      </c>
      <c r="E28" s="31">
        <v>96</v>
      </c>
      <c r="F28" s="31">
        <v>27</v>
      </c>
      <c r="G28" s="31">
        <f t="shared" si="10"/>
        <v>123</v>
      </c>
      <c r="H28" s="31">
        <f t="shared" si="11"/>
        <v>354</v>
      </c>
      <c r="I28" s="31">
        <v>70</v>
      </c>
      <c r="J28" s="31">
        <v>100</v>
      </c>
      <c r="K28" s="31">
        <v>72</v>
      </c>
      <c r="L28" s="31">
        <v>62</v>
      </c>
      <c r="M28" s="7">
        <v>29</v>
      </c>
      <c r="N28" s="31">
        <f t="shared" si="12"/>
        <v>91</v>
      </c>
      <c r="O28" s="31">
        <f t="shared" si="13"/>
        <v>333</v>
      </c>
      <c r="P28" s="31">
        <v>72</v>
      </c>
      <c r="Q28" s="31">
        <v>78</v>
      </c>
      <c r="R28" s="31">
        <v>86</v>
      </c>
      <c r="S28" s="31">
        <v>75</v>
      </c>
      <c r="T28" s="31">
        <v>36</v>
      </c>
      <c r="U28" s="31">
        <f t="shared" si="4"/>
        <v>111</v>
      </c>
      <c r="V28" s="31">
        <f t="shared" si="5"/>
        <v>347</v>
      </c>
      <c r="W28" s="31">
        <v>82</v>
      </c>
      <c r="X28" s="31">
        <v>88</v>
      </c>
      <c r="Y28" s="31">
        <v>64</v>
      </c>
      <c r="Z28" s="31">
        <v>59</v>
      </c>
      <c r="AA28" s="31">
        <v>30</v>
      </c>
      <c r="AB28" s="31">
        <f t="shared" si="6"/>
        <v>89</v>
      </c>
      <c r="AC28" s="31">
        <f t="shared" si="7"/>
        <v>323</v>
      </c>
    </row>
    <row r="29" spans="1:29" ht="17.5" x14ac:dyDescent="0.25">
      <c r="A29" s="40" t="s">
        <v>206</v>
      </c>
      <c r="B29" s="31">
        <v>72</v>
      </c>
      <c r="C29" s="31">
        <v>86</v>
      </c>
      <c r="D29" s="31">
        <v>69</v>
      </c>
      <c r="E29" s="31">
        <v>84</v>
      </c>
      <c r="F29" s="31">
        <v>27</v>
      </c>
      <c r="G29" s="31">
        <f t="shared" si="10"/>
        <v>111</v>
      </c>
      <c r="H29" s="31">
        <f t="shared" si="11"/>
        <v>338</v>
      </c>
      <c r="I29" s="31">
        <v>66</v>
      </c>
      <c r="J29" s="31">
        <v>86</v>
      </c>
      <c r="K29" s="31">
        <v>76</v>
      </c>
      <c r="L29" s="31">
        <v>56</v>
      </c>
      <c r="M29" s="7">
        <v>30</v>
      </c>
      <c r="N29" s="31">
        <f t="shared" si="12"/>
        <v>86</v>
      </c>
      <c r="O29" s="31">
        <f t="shared" si="13"/>
        <v>314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ht="17.5" x14ac:dyDescent="0.25">
      <c r="A30" s="40" t="s">
        <v>207</v>
      </c>
      <c r="B30" s="6"/>
      <c r="C30" s="6"/>
      <c r="D30" s="6"/>
      <c r="E30" s="6"/>
      <c r="F30" s="6"/>
      <c r="G30" s="6"/>
      <c r="H30" s="6"/>
      <c r="I30" s="31">
        <v>76</v>
      </c>
      <c r="J30" s="31">
        <v>80</v>
      </c>
      <c r="K30" s="31">
        <v>60</v>
      </c>
      <c r="L30" s="31">
        <v>64</v>
      </c>
      <c r="M30" s="7">
        <v>35</v>
      </c>
      <c r="N30" s="31">
        <f t="shared" si="12"/>
        <v>99</v>
      </c>
      <c r="O30" s="31">
        <f t="shared" si="13"/>
        <v>315</v>
      </c>
      <c r="P30" s="31">
        <v>82</v>
      </c>
      <c r="Q30" s="31">
        <v>52</v>
      </c>
      <c r="R30" s="31">
        <v>74</v>
      </c>
      <c r="S30" s="31">
        <v>50</v>
      </c>
      <c r="T30" s="31">
        <v>28.5</v>
      </c>
      <c r="U30" s="31">
        <f t="shared" si="4"/>
        <v>78.5</v>
      </c>
      <c r="V30" s="31">
        <f t="shared" si="5"/>
        <v>286.5</v>
      </c>
      <c r="W30" s="31">
        <v>88</v>
      </c>
      <c r="X30" s="31">
        <v>67</v>
      </c>
      <c r="Y30" s="31">
        <v>66</v>
      </c>
      <c r="Z30" s="31">
        <v>62</v>
      </c>
      <c r="AA30" s="31">
        <v>34.5</v>
      </c>
      <c r="AB30" s="31">
        <f t="shared" si="6"/>
        <v>96.5</v>
      </c>
      <c r="AC30" s="31">
        <f t="shared" si="7"/>
        <v>317.5</v>
      </c>
    </row>
    <row r="31" spans="1:29" ht="17.5" x14ac:dyDescent="0.25">
      <c r="A31" s="40" t="s">
        <v>208</v>
      </c>
      <c r="B31" s="31">
        <v>80</v>
      </c>
      <c r="C31" s="31">
        <v>96</v>
      </c>
      <c r="D31" s="31">
        <v>57</v>
      </c>
      <c r="E31" s="31">
        <v>88</v>
      </c>
      <c r="F31" s="31">
        <v>27</v>
      </c>
      <c r="G31" s="31">
        <f t="shared" ref="G31:G39" si="14">SUM(E31,F31)</f>
        <v>115</v>
      </c>
      <c r="H31" s="31">
        <f t="shared" ref="H31:H39" si="15">SUM(B31,C31,D31,G31)</f>
        <v>348</v>
      </c>
      <c r="I31" s="31">
        <v>76</v>
      </c>
      <c r="J31" s="31">
        <v>94</v>
      </c>
      <c r="K31" s="31">
        <v>60</v>
      </c>
      <c r="L31" s="31">
        <v>66</v>
      </c>
      <c r="M31" s="7">
        <v>33</v>
      </c>
      <c r="N31" s="31">
        <f t="shared" si="12"/>
        <v>99</v>
      </c>
      <c r="O31" s="31">
        <f t="shared" si="13"/>
        <v>329</v>
      </c>
      <c r="P31" s="31">
        <v>78</v>
      </c>
      <c r="Q31" s="31">
        <v>85</v>
      </c>
      <c r="R31" s="31">
        <v>82</v>
      </c>
      <c r="S31" s="31">
        <v>70</v>
      </c>
      <c r="T31" s="31">
        <v>34.5</v>
      </c>
      <c r="U31" s="31">
        <f t="shared" si="4"/>
        <v>104.5</v>
      </c>
      <c r="V31" s="31">
        <f t="shared" si="5"/>
        <v>349.5</v>
      </c>
      <c r="W31" s="6"/>
      <c r="X31" s="6"/>
      <c r="Y31" s="6"/>
      <c r="Z31" s="6"/>
      <c r="AA31" s="6"/>
      <c r="AB31" s="6"/>
      <c r="AC31" s="6"/>
    </row>
    <row r="32" spans="1:29" ht="17.5" x14ac:dyDescent="0.25">
      <c r="A32" s="40" t="s">
        <v>209</v>
      </c>
      <c r="B32" s="31">
        <v>50</v>
      </c>
      <c r="C32" s="31">
        <v>35</v>
      </c>
      <c r="D32" s="31">
        <v>55</v>
      </c>
      <c r="E32" s="31">
        <v>62</v>
      </c>
      <c r="F32" s="31">
        <v>34.5</v>
      </c>
      <c r="G32" s="31">
        <f t="shared" si="14"/>
        <v>96.5</v>
      </c>
      <c r="H32" s="31">
        <f t="shared" si="15"/>
        <v>236.5</v>
      </c>
      <c r="I32" s="31">
        <v>52</v>
      </c>
      <c r="J32" s="31">
        <v>34</v>
      </c>
      <c r="K32" s="31">
        <v>62</v>
      </c>
      <c r="L32" s="31">
        <v>20</v>
      </c>
      <c r="M32" s="7">
        <v>30</v>
      </c>
      <c r="N32" s="31">
        <f t="shared" si="12"/>
        <v>50</v>
      </c>
      <c r="O32" s="31">
        <f t="shared" si="13"/>
        <v>198</v>
      </c>
      <c r="P32" s="6"/>
      <c r="Q32" s="6"/>
      <c r="R32" s="6"/>
      <c r="S32" s="6"/>
      <c r="T32" s="6"/>
      <c r="U32" s="6"/>
      <c r="V32" s="6"/>
      <c r="W32" s="31">
        <v>64</v>
      </c>
      <c r="X32" s="31">
        <v>68</v>
      </c>
      <c r="Y32" s="31">
        <v>48</v>
      </c>
      <c r="Z32" s="31">
        <v>53</v>
      </c>
      <c r="AA32" s="31">
        <v>37.5</v>
      </c>
      <c r="AB32" s="31">
        <f t="shared" si="6"/>
        <v>90.5</v>
      </c>
      <c r="AC32" s="31">
        <f t="shared" si="7"/>
        <v>270.5</v>
      </c>
    </row>
    <row r="33" spans="1:29" ht="17.5" x14ac:dyDescent="0.25">
      <c r="A33" s="40" t="s">
        <v>210</v>
      </c>
      <c r="B33" s="31">
        <v>66</v>
      </c>
      <c r="C33" s="31">
        <v>38</v>
      </c>
      <c r="D33" s="31">
        <v>65</v>
      </c>
      <c r="E33" s="31">
        <v>50</v>
      </c>
      <c r="F33" s="31">
        <v>28.5</v>
      </c>
      <c r="G33" s="31">
        <f t="shared" si="14"/>
        <v>78.5</v>
      </c>
      <c r="H33" s="31">
        <f t="shared" si="15"/>
        <v>247.5</v>
      </c>
      <c r="I33" s="6"/>
      <c r="J33" s="6"/>
      <c r="K33" s="6"/>
      <c r="L33" s="6"/>
      <c r="M33" s="6"/>
      <c r="N33" s="6"/>
      <c r="O33" s="6"/>
      <c r="P33" s="31">
        <v>50</v>
      </c>
      <c r="Q33" s="6">
        <v>34</v>
      </c>
      <c r="R33" s="31">
        <v>56</v>
      </c>
      <c r="S33" s="31">
        <v>53</v>
      </c>
      <c r="T33" s="31">
        <v>34.5</v>
      </c>
      <c r="U33" s="31">
        <f t="shared" si="4"/>
        <v>87.5</v>
      </c>
      <c r="V33" s="31">
        <f t="shared" si="5"/>
        <v>227.5</v>
      </c>
      <c r="W33" s="31">
        <v>66</v>
      </c>
      <c r="X33" s="31">
        <v>64</v>
      </c>
      <c r="Y33" s="31">
        <v>52</v>
      </c>
      <c r="Z33" s="31">
        <v>50</v>
      </c>
      <c r="AA33" s="31">
        <v>33</v>
      </c>
      <c r="AB33" s="31">
        <f t="shared" si="6"/>
        <v>83</v>
      </c>
      <c r="AC33" s="31">
        <f t="shared" si="7"/>
        <v>265</v>
      </c>
    </row>
    <row r="34" spans="1:29" ht="17.5" x14ac:dyDescent="0.25">
      <c r="A34" s="40" t="s">
        <v>211</v>
      </c>
      <c r="B34" s="31">
        <v>68</v>
      </c>
      <c r="C34" s="31">
        <v>50</v>
      </c>
      <c r="D34" s="31">
        <v>61</v>
      </c>
      <c r="E34" s="31">
        <v>56</v>
      </c>
      <c r="F34" s="31">
        <v>27</v>
      </c>
      <c r="G34" s="31">
        <f t="shared" si="14"/>
        <v>83</v>
      </c>
      <c r="H34" s="31">
        <f t="shared" si="15"/>
        <v>262</v>
      </c>
      <c r="I34" s="31">
        <v>54</v>
      </c>
      <c r="J34" s="31">
        <v>48</v>
      </c>
      <c r="K34" s="31">
        <v>64</v>
      </c>
      <c r="L34" s="31">
        <v>25</v>
      </c>
      <c r="M34" s="7">
        <v>27</v>
      </c>
      <c r="N34" s="31">
        <f t="shared" ref="N34:N45" si="16">SUM(L34,M34)</f>
        <v>52</v>
      </c>
      <c r="O34" s="31">
        <f t="shared" ref="O34:O45" si="17">SUM(I34,J34,K34,N34)</f>
        <v>218</v>
      </c>
      <c r="P34" s="31">
        <v>60</v>
      </c>
      <c r="Q34" s="31">
        <v>36</v>
      </c>
      <c r="R34" s="31">
        <v>64</v>
      </c>
      <c r="S34" s="31">
        <v>38</v>
      </c>
      <c r="T34" s="31">
        <v>30</v>
      </c>
      <c r="U34" s="31">
        <f t="shared" si="4"/>
        <v>68</v>
      </c>
      <c r="V34" s="31">
        <f t="shared" si="5"/>
        <v>228</v>
      </c>
      <c r="W34" s="31">
        <v>76</v>
      </c>
      <c r="X34" s="31">
        <v>55</v>
      </c>
      <c r="Y34" s="31">
        <v>54</v>
      </c>
      <c r="Z34" s="31">
        <v>34</v>
      </c>
      <c r="AA34" s="31">
        <v>34.5</v>
      </c>
      <c r="AB34" s="31">
        <f t="shared" si="6"/>
        <v>68.5</v>
      </c>
      <c r="AC34" s="31">
        <f t="shared" si="7"/>
        <v>253.5</v>
      </c>
    </row>
    <row r="35" spans="1:29" ht="17.5" x14ac:dyDescent="0.25">
      <c r="A35" s="40" t="s">
        <v>212</v>
      </c>
      <c r="B35" s="31">
        <v>66</v>
      </c>
      <c r="C35" s="31">
        <v>87</v>
      </c>
      <c r="D35" s="31">
        <v>73</v>
      </c>
      <c r="E35" s="31">
        <v>83</v>
      </c>
      <c r="F35" s="31">
        <v>31.5</v>
      </c>
      <c r="G35" s="31">
        <f t="shared" si="14"/>
        <v>114.5</v>
      </c>
      <c r="H35" s="31">
        <f t="shared" si="15"/>
        <v>340.5</v>
      </c>
      <c r="I35" s="31">
        <v>58</v>
      </c>
      <c r="J35" s="31">
        <v>97</v>
      </c>
      <c r="K35" s="31">
        <v>72</v>
      </c>
      <c r="L35" s="31">
        <v>76</v>
      </c>
      <c r="M35" s="7">
        <v>32</v>
      </c>
      <c r="N35" s="31">
        <f t="shared" si="16"/>
        <v>108</v>
      </c>
      <c r="O35" s="31">
        <f t="shared" si="17"/>
        <v>335</v>
      </c>
      <c r="P35" s="6"/>
      <c r="Q35" s="6"/>
      <c r="R35" s="6"/>
      <c r="S35" s="6"/>
      <c r="T35" s="6"/>
      <c r="U35" s="6"/>
      <c r="V35" s="6"/>
      <c r="W35" s="31">
        <v>74</v>
      </c>
      <c r="X35" s="31">
        <v>80</v>
      </c>
      <c r="Y35" s="31">
        <v>44</v>
      </c>
      <c r="Z35" s="31">
        <v>77</v>
      </c>
      <c r="AA35" s="31">
        <v>28.5</v>
      </c>
      <c r="AB35" s="31">
        <f t="shared" si="6"/>
        <v>105.5</v>
      </c>
      <c r="AC35" s="31">
        <f t="shared" si="7"/>
        <v>303.5</v>
      </c>
    </row>
    <row r="36" spans="1:29" ht="17.5" x14ac:dyDescent="0.25">
      <c r="A36" s="40" t="s">
        <v>213</v>
      </c>
      <c r="B36" s="31">
        <v>74</v>
      </c>
      <c r="C36" s="31">
        <v>51</v>
      </c>
      <c r="D36" s="31">
        <v>65</v>
      </c>
      <c r="E36" s="31">
        <v>54</v>
      </c>
      <c r="F36" s="31">
        <v>22.5</v>
      </c>
      <c r="G36" s="31">
        <f t="shared" si="14"/>
        <v>76.5</v>
      </c>
      <c r="H36" s="31">
        <f t="shared" si="15"/>
        <v>266.5</v>
      </c>
      <c r="I36" s="6"/>
      <c r="J36" s="6"/>
      <c r="K36" s="6"/>
      <c r="L36" s="6"/>
      <c r="M36" s="6"/>
      <c r="N36" s="6"/>
      <c r="O36" s="6"/>
      <c r="P36" s="31">
        <v>70</v>
      </c>
      <c r="Q36" s="6">
        <v>23</v>
      </c>
      <c r="R36" s="31">
        <v>56</v>
      </c>
      <c r="S36" s="31">
        <v>50</v>
      </c>
      <c r="T36" s="31">
        <v>30</v>
      </c>
      <c r="U36" s="31">
        <f t="shared" si="4"/>
        <v>80</v>
      </c>
      <c r="V36" s="31">
        <f t="shared" si="5"/>
        <v>229</v>
      </c>
      <c r="W36" s="31">
        <v>60</v>
      </c>
      <c r="X36" s="31">
        <v>46</v>
      </c>
      <c r="Y36" s="31">
        <v>50</v>
      </c>
      <c r="Z36" s="31">
        <v>50</v>
      </c>
      <c r="AA36" s="31">
        <v>31.5</v>
      </c>
      <c r="AB36" s="31">
        <f t="shared" si="6"/>
        <v>81.5</v>
      </c>
      <c r="AC36" s="31">
        <f t="shared" si="7"/>
        <v>237.5</v>
      </c>
    </row>
    <row r="37" spans="1:29" ht="17.5" x14ac:dyDescent="0.25">
      <c r="A37" s="40" t="s">
        <v>214</v>
      </c>
      <c r="B37" s="31">
        <v>64</v>
      </c>
      <c r="C37" s="31">
        <v>67</v>
      </c>
      <c r="D37" s="31">
        <v>58</v>
      </c>
      <c r="E37" s="31">
        <v>66</v>
      </c>
      <c r="F37" s="31">
        <v>31.5</v>
      </c>
      <c r="G37" s="31">
        <f t="shared" si="14"/>
        <v>97.5</v>
      </c>
      <c r="H37" s="31">
        <f t="shared" si="15"/>
        <v>286.5</v>
      </c>
      <c r="I37" s="31">
        <v>68</v>
      </c>
      <c r="J37" s="31">
        <v>93</v>
      </c>
      <c r="K37" s="31">
        <v>52</v>
      </c>
      <c r="L37" s="31">
        <v>39</v>
      </c>
      <c r="M37" s="7">
        <v>29</v>
      </c>
      <c r="N37" s="31">
        <f t="shared" si="16"/>
        <v>68</v>
      </c>
      <c r="O37" s="31">
        <f t="shared" si="17"/>
        <v>281</v>
      </c>
      <c r="P37" s="31">
        <v>68</v>
      </c>
      <c r="Q37" s="31">
        <v>44</v>
      </c>
      <c r="R37" s="31">
        <v>60</v>
      </c>
      <c r="S37" s="31">
        <v>62</v>
      </c>
      <c r="T37" s="31">
        <v>33</v>
      </c>
      <c r="U37" s="31">
        <f t="shared" si="4"/>
        <v>95</v>
      </c>
      <c r="V37" s="31">
        <f t="shared" si="5"/>
        <v>267</v>
      </c>
      <c r="W37" s="31">
        <v>78</v>
      </c>
      <c r="X37" s="31">
        <v>60</v>
      </c>
      <c r="Y37" s="31">
        <v>62</v>
      </c>
      <c r="Z37" s="31">
        <v>53</v>
      </c>
      <c r="AA37" s="31">
        <v>30</v>
      </c>
      <c r="AB37" s="31">
        <f t="shared" si="6"/>
        <v>83</v>
      </c>
      <c r="AC37" s="31">
        <f t="shared" si="7"/>
        <v>283</v>
      </c>
    </row>
    <row r="38" spans="1:29" ht="17.5" x14ac:dyDescent="0.25">
      <c r="A38" s="40" t="s">
        <v>215</v>
      </c>
      <c r="B38" s="31">
        <v>74</v>
      </c>
      <c r="C38" s="31">
        <v>67</v>
      </c>
      <c r="D38" s="31">
        <v>63</v>
      </c>
      <c r="E38" s="31">
        <v>76</v>
      </c>
      <c r="F38" s="31">
        <v>30</v>
      </c>
      <c r="G38" s="31">
        <f t="shared" si="14"/>
        <v>106</v>
      </c>
      <c r="H38" s="31">
        <f t="shared" si="15"/>
        <v>310</v>
      </c>
      <c r="I38" s="31">
        <v>62</v>
      </c>
      <c r="J38" s="31">
        <v>71</v>
      </c>
      <c r="K38" s="31">
        <v>68</v>
      </c>
      <c r="L38" s="31">
        <v>55</v>
      </c>
      <c r="M38" s="7">
        <v>32</v>
      </c>
      <c r="N38" s="31">
        <f t="shared" si="16"/>
        <v>87</v>
      </c>
      <c r="O38" s="31">
        <f t="shared" si="17"/>
        <v>288</v>
      </c>
      <c r="P38" s="31">
        <v>88</v>
      </c>
      <c r="Q38" s="31">
        <v>62</v>
      </c>
      <c r="R38" s="31">
        <v>72</v>
      </c>
      <c r="S38" s="31">
        <v>44</v>
      </c>
      <c r="T38" s="31">
        <v>31.5</v>
      </c>
      <c r="U38" s="31">
        <f t="shared" si="4"/>
        <v>75.5</v>
      </c>
      <c r="V38" s="31">
        <f t="shared" si="5"/>
        <v>297.5</v>
      </c>
      <c r="W38" s="31">
        <v>80</v>
      </c>
      <c r="X38" s="31">
        <v>72</v>
      </c>
      <c r="Y38" s="31">
        <v>70</v>
      </c>
      <c r="Z38" s="31">
        <v>59</v>
      </c>
      <c r="AA38" s="31">
        <v>33</v>
      </c>
      <c r="AB38" s="31">
        <f t="shared" si="6"/>
        <v>92</v>
      </c>
      <c r="AC38" s="31">
        <f t="shared" si="7"/>
        <v>314</v>
      </c>
    </row>
    <row r="39" spans="1:29" ht="17.5" x14ac:dyDescent="0.25">
      <c r="A39" s="40" t="s">
        <v>216</v>
      </c>
      <c r="B39" s="31">
        <v>86</v>
      </c>
      <c r="C39" s="31">
        <v>69</v>
      </c>
      <c r="D39" s="31">
        <v>70</v>
      </c>
      <c r="E39" s="31">
        <v>87</v>
      </c>
      <c r="F39" s="31">
        <v>31.5</v>
      </c>
      <c r="G39" s="31">
        <f t="shared" si="14"/>
        <v>118.5</v>
      </c>
      <c r="H39" s="31">
        <f t="shared" si="15"/>
        <v>343.5</v>
      </c>
      <c r="I39" s="31">
        <v>76</v>
      </c>
      <c r="J39" s="31">
        <v>97</v>
      </c>
      <c r="K39" s="31">
        <v>78</v>
      </c>
      <c r="L39" s="31">
        <v>71</v>
      </c>
      <c r="M39" s="7">
        <v>29</v>
      </c>
      <c r="N39" s="31">
        <f t="shared" si="16"/>
        <v>100</v>
      </c>
      <c r="O39" s="31">
        <f t="shared" si="17"/>
        <v>351</v>
      </c>
      <c r="P39" s="31">
        <v>80</v>
      </c>
      <c r="Q39" s="31">
        <v>68</v>
      </c>
      <c r="R39" s="31">
        <v>82</v>
      </c>
      <c r="S39" s="31">
        <v>88</v>
      </c>
      <c r="T39" s="31">
        <v>36</v>
      </c>
      <c r="U39" s="31">
        <f t="shared" si="4"/>
        <v>124</v>
      </c>
      <c r="V39" s="31">
        <f t="shared" si="5"/>
        <v>354</v>
      </c>
      <c r="W39" s="31">
        <v>88</v>
      </c>
      <c r="X39" s="31">
        <v>78</v>
      </c>
      <c r="Y39" s="31">
        <v>70</v>
      </c>
      <c r="Z39" s="31">
        <v>88</v>
      </c>
      <c r="AA39" s="31">
        <v>37.5</v>
      </c>
      <c r="AB39" s="31">
        <f t="shared" si="6"/>
        <v>125.5</v>
      </c>
      <c r="AC39" s="31">
        <f t="shared" si="7"/>
        <v>361.5</v>
      </c>
    </row>
    <row r="40" spans="1:29" ht="17.5" x14ac:dyDescent="0.25">
      <c r="A40" s="40" t="s">
        <v>217</v>
      </c>
      <c r="B40" s="6"/>
      <c r="C40" s="6"/>
      <c r="D40" s="6"/>
      <c r="E40" s="6"/>
      <c r="F40" s="6"/>
      <c r="G40" s="6"/>
      <c r="H40" s="6"/>
      <c r="I40" s="31">
        <v>56</v>
      </c>
      <c r="J40" s="31">
        <v>83</v>
      </c>
      <c r="K40" s="31">
        <v>62</v>
      </c>
      <c r="L40" s="31">
        <v>40</v>
      </c>
      <c r="M40" s="7">
        <v>35</v>
      </c>
      <c r="N40" s="31">
        <f t="shared" si="16"/>
        <v>75</v>
      </c>
      <c r="O40" s="31">
        <f t="shared" si="17"/>
        <v>276</v>
      </c>
      <c r="P40" s="31">
        <v>72</v>
      </c>
      <c r="Q40" s="31">
        <v>60</v>
      </c>
      <c r="R40" s="31">
        <v>58</v>
      </c>
      <c r="S40" s="31">
        <v>60</v>
      </c>
      <c r="T40" s="31">
        <v>34.5</v>
      </c>
      <c r="U40" s="31">
        <f t="shared" si="4"/>
        <v>94.5</v>
      </c>
      <c r="V40" s="31">
        <f t="shared" si="5"/>
        <v>284.5</v>
      </c>
      <c r="W40" s="31">
        <v>68</v>
      </c>
      <c r="X40" s="31">
        <v>74</v>
      </c>
      <c r="Y40" s="31">
        <v>72</v>
      </c>
      <c r="Z40" s="31">
        <v>58</v>
      </c>
      <c r="AA40" s="31">
        <v>31.5</v>
      </c>
      <c r="AB40" s="31">
        <f t="shared" si="6"/>
        <v>89.5</v>
      </c>
      <c r="AC40" s="31">
        <f t="shared" si="7"/>
        <v>303.5</v>
      </c>
    </row>
    <row r="41" spans="1:29" ht="17.5" x14ac:dyDescent="0.25">
      <c r="A41" s="40" t="s">
        <v>218</v>
      </c>
      <c r="B41" s="31">
        <v>72</v>
      </c>
      <c r="C41" s="31">
        <v>96</v>
      </c>
      <c r="D41" s="31">
        <v>48</v>
      </c>
      <c r="E41" s="31">
        <v>82</v>
      </c>
      <c r="F41" s="31">
        <v>30</v>
      </c>
      <c r="G41" s="31">
        <f t="shared" ref="G41:G45" si="18">SUM(E41,F41)</f>
        <v>112</v>
      </c>
      <c r="H41" s="31">
        <f t="shared" ref="H41:H45" si="19">SUM(B41,C41,D41,G41)</f>
        <v>328</v>
      </c>
      <c r="I41" s="31">
        <v>52</v>
      </c>
      <c r="J41" s="31">
        <v>96</v>
      </c>
      <c r="K41" s="31">
        <v>64</v>
      </c>
      <c r="L41" s="31">
        <v>80</v>
      </c>
      <c r="M41" s="7">
        <v>32</v>
      </c>
      <c r="N41" s="31">
        <f t="shared" si="16"/>
        <v>112</v>
      </c>
      <c r="O41" s="31">
        <f t="shared" si="17"/>
        <v>324</v>
      </c>
      <c r="P41" s="31">
        <v>78</v>
      </c>
      <c r="Q41" s="31">
        <v>85</v>
      </c>
      <c r="R41" s="31">
        <v>82</v>
      </c>
      <c r="S41" s="31">
        <v>62</v>
      </c>
      <c r="T41" s="31">
        <v>36</v>
      </c>
      <c r="U41" s="31">
        <f t="shared" si="4"/>
        <v>98</v>
      </c>
      <c r="V41" s="31">
        <f t="shared" si="5"/>
        <v>343</v>
      </c>
      <c r="W41" s="31">
        <v>72</v>
      </c>
      <c r="X41" s="31">
        <v>93</v>
      </c>
      <c r="Y41" s="31">
        <v>62</v>
      </c>
      <c r="Z41" s="31">
        <v>82</v>
      </c>
      <c r="AA41" s="31">
        <v>37.5</v>
      </c>
      <c r="AB41" s="31">
        <f t="shared" si="6"/>
        <v>119.5</v>
      </c>
      <c r="AC41" s="31">
        <f t="shared" si="7"/>
        <v>346.5</v>
      </c>
    </row>
    <row r="42" spans="1:29" ht="17.5" x14ac:dyDescent="0.25">
      <c r="A42" s="40" t="s">
        <v>219</v>
      </c>
      <c r="B42" s="31">
        <v>54</v>
      </c>
      <c r="C42" s="31">
        <v>36</v>
      </c>
      <c r="D42" s="31">
        <v>63</v>
      </c>
      <c r="E42" s="31">
        <v>84</v>
      </c>
      <c r="F42" s="31">
        <v>27</v>
      </c>
      <c r="G42" s="31">
        <f t="shared" si="18"/>
        <v>111</v>
      </c>
      <c r="H42" s="31">
        <f t="shared" si="19"/>
        <v>264</v>
      </c>
      <c r="I42" s="31">
        <v>58</v>
      </c>
      <c r="J42" s="31">
        <v>63</v>
      </c>
      <c r="K42" s="31">
        <v>70</v>
      </c>
      <c r="L42" s="31">
        <v>59</v>
      </c>
      <c r="M42" s="7">
        <v>30</v>
      </c>
      <c r="N42" s="31">
        <f t="shared" si="16"/>
        <v>89</v>
      </c>
      <c r="O42" s="31">
        <f t="shared" si="17"/>
        <v>280</v>
      </c>
      <c r="P42" s="6"/>
      <c r="Q42" s="6"/>
      <c r="R42" s="6"/>
      <c r="S42" s="6"/>
      <c r="T42" s="6"/>
      <c r="U42" s="6"/>
      <c r="V42" s="6"/>
      <c r="W42" s="31">
        <v>44</v>
      </c>
      <c r="X42" s="31">
        <v>39</v>
      </c>
      <c r="Y42" s="31">
        <v>56</v>
      </c>
      <c r="Z42" s="31">
        <v>62</v>
      </c>
      <c r="AA42" s="31">
        <v>28.5</v>
      </c>
      <c r="AB42" s="31">
        <f t="shared" si="6"/>
        <v>90.5</v>
      </c>
      <c r="AC42" s="31">
        <f t="shared" si="7"/>
        <v>229.5</v>
      </c>
    </row>
    <row r="43" spans="1:29" ht="17.5" x14ac:dyDescent="0.25">
      <c r="A43" s="40" t="s">
        <v>48</v>
      </c>
      <c r="B43" s="6"/>
      <c r="C43" s="6"/>
      <c r="D43" s="6"/>
      <c r="E43" s="6"/>
      <c r="F43" s="6"/>
      <c r="G43" s="6"/>
      <c r="H43" s="6"/>
      <c r="I43" s="31">
        <v>64</v>
      </c>
      <c r="J43" s="31">
        <v>89</v>
      </c>
      <c r="K43" s="31">
        <v>40</v>
      </c>
      <c r="L43" s="31">
        <v>74</v>
      </c>
      <c r="M43" s="7">
        <v>35</v>
      </c>
      <c r="N43" s="31">
        <f t="shared" si="16"/>
        <v>109</v>
      </c>
      <c r="O43" s="31">
        <f t="shared" si="17"/>
        <v>302</v>
      </c>
      <c r="P43" s="31">
        <v>80</v>
      </c>
      <c r="Q43" s="31">
        <v>78</v>
      </c>
      <c r="R43" s="31">
        <v>78</v>
      </c>
      <c r="S43" s="31">
        <v>63</v>
      </c>
      <c r="T43" s="31">
        <v>34.5</v>
      </c>
      <c r="U43" s="31">
        <f t="shared" si="4"/>
        <v>97.5</v>
      </c>
      <c r="V43" s="31">
        <f t="shared" si="5"/>
        <v>333.5</v>
      </c>
      <c r="W43" s="31">
        <v>72</v>
      </c>
      <c r="X43" s="31">
        <v>89</v>
      </c>
      <c r="Y43" s="31">
        <v>54</v>
      </c>
      <c r="Z43" s="31">
        <v>74</v>
      </c>
      <c r="AA43" s="31">
        <v>33</v>
      </c>
      <c r="AB43" s="31">
        <f t="shared" si="6"/>
        <v>107</v>
      </c>
      <c r="AC43" s="31">
        <f t="shared" si="7"/>
        <v>322</v>
      </c>
    </row>
    <row r="44" spans="1:29" ht="17.5" x14ac:dyDescent="0.25">
      <c r="A44" s="40" t="s">
        <v>220</v>
      </c>
      <c r="B44" s="31">
        <v>70</v>
      </c>
      <c r="C44" s="31">
        <v>79</v>
      </c>
      <c r="D44" s="31">
        <v>70</v>
      </c>
      <c r="E44" s="31">
        <v>88</v>
      </c>
      <c r="F44" s="31">
        <v>36</v>
      </c>
      <c r="G44" s="31">
        <f t="shared" si="18"/>
        <v>124</v>
      </c>
      <c r="H44" s="31">
        <f t="shared" si="19"/>
        <v>343</v>
      </c>
      <c r="I44" s="31">
        <v>80</v>
      </c>
      <c r="J44" s="31">
        <v>94</v>
      </c>
      <c r="K44" s="31">
        <v>84</v>
      </c>
      <c r="L44" s="31">
        <v>81</v>
      </c>
      <c r="M44" s="7">
        <v>41</v>
      </c>
      <c r="N44" s="31">
        <f t="shared" si="16"/>
        <v>122</v>
      </c>
      <c r="O44" s="31">
        <f t="shared" si="17"/>
        <v>380</v>
      </c>
      <c r="P44" s="6"/>
      <c r="Q44" s="6"/>
      <c r="R44" s="6"/>
      <c r="S44" s="6"/>
      <c r="T44" s="6"/>
      <c r="U44" s="6"/>
      <c r="V44" s="6"/>
      <c r="W44" s="31">
        <v>90</v>
      </c>
      <c r="X44" s="31">
        <v>68</v>
      </c>
      <c r="Y44" s="31">
        <v>62</v>
      </c>
      <c r="Z44" s="31">
        <v>77</v>
      </c>
      <c r="AA44" s="31">
        <v>39</v>
      </c>
      <c r="AB44" s="31">
        <f t="shared" si="6"/>
        <v>116</v>
      </c>
      <c r="AC44" s="31">
        <f t="shared" si="7"/>
        <v>336</v>
      </c>
    </row>
    <row r="45" spans="1:29" ht="17.5" x14ac:dyDescent="0.25">
      <c r="A45" s="40" t="s">
        <v>221</v>
      </c>
      <c r="B45" s="31">
        <v>76</v>
      </c>
      <c r="C45" s="31">
        <v>91</v>
      </c>
      <c r="D45" s="31">
        <v>59</v>
      </c>
      <c r="E45" s="31">
        <v>84</v>
      </c>
      <c r="F45" s="31">
        <v>28.5</v>
      </c>
      <c r="G45" s="31">
        <f t="shared" si="18"/>
        <v>112.5</v>
      </c>
      <c r="H45" s="31">
        <f t="shared" si="19"/>
        <v>338.5</v>
      </c>
      <c r="I45" s="31">
        <v>70</v>
      </c>
      <c r="J45" s="31">
        <v>89</v>
      </c>
      <c r="K45" s="31">
        <v>72</v>
      </c>
      <c r="L45" s="31">
        <v>66</v>
      </c>
      <c r="M45" s="7">
        <v>36</v>
      </c>
      <c r="N45" s="31">
        <f t="shared" si="16"/>
        <v>102</v>
      </c>
      <c r="O45" s="31">
        <f t="shared" si="17"/>
        <v>333</v>
      </c>
      <c r="P45" s="31">
        <v>80</v>
      </c>
      <c r="Q45" s="31">
        <v>76</v>
      </c>
      <c r="R45" s="31">
        <v>62</v>
      </c>
      <c r="S45" s="31">
        <v>65</v>
      </c>
      <c r="T45" s="31">
        <v>37.5</v>
      </c>
      <c r="U45" s="31">
        <f t="shared" si="4"/>
        <v>102.5</v>
      </c>
      <c r="V45" s="31">
        <f t="shared" si="5"/>
        <v>320.5</v>
      </c>
      <c r="W45" s="31">
        <v>88</v>
      </c>
      <c r="X45" s="31">
        <v>76</v>
      </c>
      <c r="Y45" s="31">
        <v>66</v>
      </c>
      <c r="Z45" s="31">
        <v>75</v>
      </c>
      <c r="AA45" s="31">
        <v>42</v>
      </c>
      <c r="AB45" s="31">
        <f t="shared" si="6"/>
        <v>117</v>
      </c>
      <c r="AC45" s="31">
        <f t="shared" si="7"/>
        <v>347</v>
      </c>
    </row>
    <row r="46" spans="1:29" ht="17.5" x14ac:dyDescent="0.25">
      <c r="A46" s="40" t="s">
        <v>222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17.5" x14ac:dyDescent="0.25">
      <c r="A47" s="40" t="s">
        <v>223</v>
      </c>
      <c r="B47" s="31">
        <v>64</v>
      </c>
      <c r="C47" s="31">
        <v>75</v>
      </c>
      <c r="D47" s="31">
        <v>64</v>
      </c>
      <c r="E47" s="31">
        <v>71</v>
      </c>
      <c r="F47" s="31">
        <v>25.5</v>
      </c>
      <c r="G47" s="31">
        <f t="shared" ref="G47:G50" si="20">SUM(E47,F47)</f>
        <v>96.5</v>
      </c>
      <c r="H47" s="31">
        <f t="shared" ref="H47:H50" si="21">SUM(B47,C47,D47,G47)</f>
        <v>299.5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31">
        <v>82</v>
      </c>
      <c r="X47" s="31">
        <v>88</v>
      </c>
      <c r="Y47" s="31">
        <v>58</v>
      </c>
      <c r="Z47" s="31">
        <v>64</v>
      </c>
      <c r="AA47" s="31">
        <v>34.5</v>
      </c>
      <c r="AB47" s="31">
        <f t="shared" si="6"/>
        <v>98.5</v>
      </c>
      <c r="AC47" s="31">
        <f t="shared" si="7"/>
        <v>326.5</v>
      </c>
    </row>
    <row r="48" spans="1:29" ht="17.5" x14ac:dyDescent="0.25">
      <c r="A48" s="41" t="s">
        <v>224</v>
      </c>
      <c r="B48" s="31">
        <v>60</v>
      </c>
      <c r="C48" s="31">
        <v>27</v>
      </c>
      <c r="D48" s="31">
        <v>50</v>
      </c>
      <c r="E48" s="31">
        <v>57</v>
      </c>
      <c r="F48" s="31">
        <v>33</v>
      </c>
      <c r="G48" s="31">
        <f t="shared" si="20"/>
        <v>90</v>
      </c>
      <c r="H48" s="31">
        <f t="shared" si="21"/>
        <v>227</v>
      </c>
      <c r="I48" s="31">
        <v>66</v>
      </c>
      <c r="J48" s="31">
        <v>73</v>
      </c>
      <c r="K48" s="31">
        <v>60</v>
      </c>
      <c r="L48" s="31">
        <v>43</v>
      </c>
      <c r="M48" s="7">
        <v>29</v>
      </c>
      <c r="N48" s="31">
        <f t="shared" ref="N48:N50" si="22">SUM(L48,M48)</f>
        <v>72</v>
      </c>
      <c r="O48" s="31">
        <f t="shared" ref="O48:O50" si="23">SUM(I48,J48,K48,N48)</f>
        <v>271</v>
      </c>
      <c r="P48" s="31">
        <v>78</v>
      </c>
      <c r="Q48" s="31">
        <v>31</v>
      </c>
      <c r="R48" s="31">
        <v>68</v>
      </c>
      <c r="S48" s="31">
        <v>46</v>
      </c>
      <c r="T48" s="31">
        <v>39</v>
      </c>
      <c r="U48" s="31">
        <f>SUM(S48,T48)</f>
        <v>85</v>
      </c>
      <c r="V48" s="31">
        <f>SUM(P48,Q48,R48,U48)</f>
        <v>262</v>
      </c>
      <c r="W48" s="31">
        <v>66</v>
      </c>
      <c r="X48" s="31">
        <v>63</v>
      </c>
      <c r="Y48" s="31">
        <v>56</v>
      </c>
      <c r="Z48" s="31">
        <v>44</v>
      </c>
      <c r="AA48" s="31">
        <v>33</v>
      </c>
      <c r="AB48" s="31">
        <f t="shared" si="6"/>
        <v>77</v>
      </c>
      <c r="AC48" s="31">
        <f t="shared" si="7"/>
        <v>262</v>
      </c>
    </row>
    <row r="49" spans="1:29" ht="18.899999999999999" customHeight="1" x14ac:dyDescent="0.25">
      <c r="A49" s="41" t="s">
        <v>225</v>
      </c>
      <c r="B49" s="31">
        <v>48</v>
      </c>
      <c r="C49" s="31">
        <v>42</v>
      </c>
      <c r="D49" s="31">
        <v>44</v>
      </c>
      <c r="E49" s="31">
        <v>66</v>
      </c>
      <c r="F49" s="31">
        <v>24</v>
      </c>
      <c r="G49" s="31">
        <f t="shared" si="20"/>
        <v>90</v>
      </c>
      <c r="H49" s="31">
        <f t="shared" si="21"/>
        <v>224</v>
      </c>
      <c r="I49" s="31">
        <v>56</v>
      </c>
      <c r="J49" s="31">
        <v>45</v>
      </c>
      <c r="K49" s="31">
        <v>44</v>
      </c>
      <c r="L49" s="31">
        <v>44</v>
      </c>
      <c r="M49" s="7">
        <v>29</v>
      </c>
      <c r="N49" s="31">
        <f t="shared" si="22"/>
        <v>73</v>
      </c>
      <c r="O49" s="31">
        <f t="shared" si="23"/>
        <v>218</v>
      </c>
      <c r="P49" s="31">
        <v>62</v>
      </c>
      <c r="Q49" s="31">
        <v>36</v>
      </c>
      <c r="R49" s="31">
        <v>48</v>
      </c>
      <c r="S49" s="31">
        <v>38</v>
      </c>
      <c r="T49" s="31">
        <v>27</v>
      </c>
      <c r="U49" s="31">
        <f>SUM(S49,T49)</f>
        <v>65</v>
      </c>
      <c r="V49" s="31">
        <f>SUM(P49,Q49,R49,U49)</f>
        <v>211</v>
      </c>
      <c r="W49" s="31">
        <v>72</v>
      </c>
      <c r="X49" s="31">
        <v>47</v>
      </c>
      <c r="Y49" s="31">
        <v>56</v>
      </c>
      <c r="Z49" s="31">
        <v>50</v>
      </c>
      <c r="AA49" s="31">
        <v>30</v>
      </c>
      <c r="AB49" s="31">
        <f t="shared" si="6"/>
        <v>80</v>
      </c>
      <c r="AC49" s="31">
        <f t="shared" si="7"/>
        <v>255</v>
      </c>
    </row>
    <row r="50" spans="1:29" ht="18.899999999999999" customHeight="1" x14ac:dyDescent="0.25">
      <c r="A50" s="41" t="s">
        <v>226</v>
      </c>
      <c r="B50" s="31">
        <v>60</v>
      </c>
      <c r="C50" s="31">
        <v>65</v>
      </c>
      <c r="D50" s="31">
        <v>55</v>
      </c>
      <c r="E50" s="31">
        <v>70</v>
      </c>
      <c r="F50" s="31">
        <v>33</v>
      </c>
      <c r="G50" s="31">
        <f t="shared" si="20"/>
        <v>103</v>
      </c>
      <c r="H50" s="31">
        <f t="shared" si="21"/>
        <v>283</v>
      </c>
      <c r="I50" s="31">
        <v>66</v>
      </c>
      <c r="J50" s="31">
        <v>62</v>
      </c>
      <c r="K50" s="31">
        <v>64</v>
      </c>
      <c r="L50" s="31">
        <v>58</v>
      </c>
      <c r="M50" s="7">
        <v>36</v>
      </c>
      <c r="N50" s="31">
        <f t="shared" si="22"/>
        <v>94</v>
      </c>
      <c r="O50" s="31">
        <f t="shared" si="23"/>
        <v>286</v>
      </c>
      <c r="P50" s="31">
        <v>66</v>
      </c>
      <c r="Q50" s="31">
        <v>60</v>
      </c>
      <c r="R50" s="31">
        <v>66</v>
      </c>
      <c r="S50" s="31">
        <v>52</v>
      </c>
      <c r="T50" s="31">
        <v>31.5</v>
      </c>
      <c r="U50" s="31">
        <f>SUM(S50,T50)</f>
        <v>83.5</v>
      </c>
      <c r="V50" s="31">
        <f>SUM(P50,Q50,R50,U50)</f>
        <v>275.5</v>
      </c>
      <c r="W50" s="31">
        <v>76</v>
      </c>
      <c r="X50" s="31">
        <v>60</v>
      </c>
      <c r="Y50" s="31">
        <v>50</v>
      </c>
      <c r="Z50" s="31">
        <v>50</v>
      </c>
      <c r="AA50" s="31">
        <v>30</v>
      </c>
      <c r="AB50" s="31">
        <f t="shared" si="6"/>
        <v>80</v>
      </c>
      <c r="AC50" s="31">
        <f t="shared" si="7"/>
        <v>266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I1:O1"/>
    <mergeCell ref="P1:V1"/>
    <mergeCell ref="W1:AC1"/>
    <mergeCell ref="B1:H1"/>
  </mergeCells>
  <phoneticPr fontId="1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44"/>
  <sheetViews>
    <sheetView zoomScale="55" zoomScaleNormal="55" workbookViewId="0">
      <pane xSplit="1" ySplit="2" topLeftCell="B3" activePane="bottomRight" state="frozen"/>
      <selection pane="topRight"/>
      <selection pane="bottomLeft"/>
      <selection pane="bottomRight" activeCell="AB2" activeCellId="3" sqref="D2 L2 T2 AB2"/>
    </sheetView>
  </sheetViews>
  <sheetFormatPr defaultColWidth="9.6328125" defaultRowHeight="14" x14ac:dyDescent="0.25"/>
  <cols>
    <col min="1" max="1" width="9.54296875" bestFit="1" customWidth="1"/>
    <col min="2" max="3" width="5.453125" bestFit="1" customWidth="1"/>
    <col min="4" max="8" width="9.26953125" bestFit="1" customWidth="1"/>
    <col min="9" max="11" width="5.453125" bestFit="1" customWidth="1"/>
    <col min="12" max="16" width="9.26953125" bestFit="1" customWidth="1"/>
    <col min="17" max="17" width="6.7265625" bestFit="1" customWidth="1"/>
    <col min="18" max="19" width="5.453125" bestFit="1" customWidth="1"/>
    <col min="20" max="24" width="9.26953125" bestFit="1" customWidth="1"/>
    <col min="25" max="25" width="6.7265625" bestFit="1" customWidth="1"/>
    <col min="26" max="27" width="5.453125" bestFit="1" customWidth="1"/>
    <col min="28" max="32" width="9.26953125" bestFit="1" customWidth="1"/>
    <col min="33" max="33" width="6.7265625" bestFit="1" customWidth="1"/>
  </cols>
  <sheetData>
    <row r="1" spans="1:33" ht="17.5" x14ac:dyDescent="0.25">
      <c r="A1" s="4"/>
      <c r="B1" s="97" t="s">
        <v>0</v>
      </c>
      <c r="C1" s="98"/>
      <c r="D1" s="98"/>
      <c r="E1" s="98"/>
      <c r="F1" s="98"/>
      <c r="G1" s="98"/>
      <c r="H1" s="98"/>
      <c r="I1" s="98"/>
      <c r="J1" s="97" t="s">
        <v>1</v>
      </c>
      <c r="K1" s="98"/>
      <c r="L1" s="98"/>
      <c r="M1" s="98"/>
      <c r="N1" s="98"/>
      <c r="O1" s="98"/>
      <c r="P1" s="98"/>
      <c r="Q1" s="98"/>
      <c r="R1" s="97" t="s">
        <v>2</v>
      </c>
      <c r="S1" s="98"/>
      <c r="T1" s="98"/>
      <c r="U1" s="98"/>
      <c r="V1" s="98"/>
      <c r="W1" s="98"/>
      <c r="X1" s="98"/>
      <c r="Y1" s="98"/>
      <c r="Z1" s="97" t="s">
        <v>38</v>
      </c>
      <c r="AA1" s="98"/>
      <c r="AB1" s="98"/>
      <c r="AC1" s="98"/>
      <c r="AD1" s="98"/>
      <c r="AE1" s="98"/>
      <c r="AF1" s="98"/>
      <c r="AG1" s="98"/>
    </row>
    <row r="2" spans="1:33" ht="17.5" x14ac:dyDescent="0.25">
      <c r="A2" s="19" t="s">
        <v>5</v>
      </c>
      <c r="B2" s="20" t="s">
        <v>3</v>
      </c>
      <c r="C2" s="20" t="s">
        <v>4</v>
      </c>
      <c r="D2" s="78" t="s">
        <v>528</v>
      </c>
      <c r="E2" s="20" t="s">
        <v>227</v>
      </c>
      <c r="F2" s="20" t="s">
        <v>39</v>
      </c>
      <c r="G2" s="20" t="s">
        <v>95</v>
      </c>
      <c r="H2" s="20" t="s">
        <v>8</v>
      </c>
      <c r="I2" s="20" t="s">
        <v>9</v>
      </c>
      <c r="J2" s="20" t="s">
        <v>3</v>
      </c>
      <c r="K2" s="20" t="s">
        <v>4</v>
      </c>
      <c r="L2" s="78" t="s">
        <v>528</v>
      </c>
      <c r="M2" s="20" t="s">
        <v>227</v>
      </c>
      <c r="N2" s="20" t="s">
        <v>39</v>
      </c>
      <c r="O2" s="20" t="s">
        <v>95</v>
      </c>
      <c r="P2" s="20" t="s">
        <v>8</v>
      </c>
      <c r="Q2" s="20" t="s">
        <v>9</v>
      </c>
      <c r="R2" s="20" t="s">
        <v>3</v>
      </c>
      <c r="S2" s="20" t="s">
        <v>4</v>
      </c>
      <c r="T2" s="78" t="s">
        <v>528</v>
      </c>
      <c r="U2" s="20" t="s">
        <v>227</v>
      </c>
      <c r="V2" s="20" t="s">
        <v>39</v>
      </c>
      <c r="W2" s="20" t="s">
        <v>95</v>
      </c>
      <c r="X2" s="20" t="s">
        <v>8</v>
      </c>
      <c r="Y2" s="20" t="s">
        <v>9</v>
      </c>
      <c r="Z2" s="20" t="s">
        <v>3</v>
      </c>
      <c r="AA2" s="20" t="s">
        <v>4</v>
      </c>
      <c r="AB2" s="78" t="s">
        <v>528</v>
      </c>
      <c r="AC2" s="20" t="s">
        <v>227</v>
      </c>
      <c r="AD2" s="20" t="s">
        <v>39</v>
      </c>
      <c r="AE2" s="20" t="s">
        <v>95</v>
      </c>
      <c r="AF2" s="20" t="s">
        <v>8</v>
      </c>
      <c r="AG2" s="20" t="s">
        <v>9</v>
      </c>
    </row>
    <row r="3" spans="1:33" ht="17.5" x14ac:dyDescent="0.25">
      <c r="A3" s="63" t="s">
        <v>228</v>
      </c>
      <c r="B3" s="20">
        <v>70</v>
      </c>
      <c r="C3" s="20">
        <v>78</v>
      </c>
      <c r="D3" s="20">
        <v>88</v>
      </c>
      <c r="E3" s="20">
        <v>38</v>
      </c>
      <c r="F3" s="20">
        <v>40</v>
      </c>
      <c r="G3" s="20">
        <v>17</v>
      </c>
      <c r="H3" s="20">
        <v>95</v>
      </c>
      <c r="I3" s="20">
        <v>331</v>
      </c>
      <c r="J3" s="20">
        <v>78</v>
      </c>
      <c r="K3" s="20">
        <v>75</v>
      </c>
      <c r="L3" s="20">
        <v>88</v>
      </c>
      <c r="M3" s="20">
        <v>15</v>
      </c>
      <c r="N3" s="20">
        <v>29.4</v>
      </c>
      <c r="O3" s="20">
        <v>22</v>
      </c>
      <c r="P3" s="20">
        <f>M3+O3+N3</f>
        <v>66.400000000000006</v>
      </c>
      <c r="Q3" s="20">
        <f>J3+K3+L3+P3</f>
        <v>307.39999999999998</v>
      </c>
      <c r="R3" s="20">
        <v>76</v>
      </c>
      <c r="S3" s="20">
        <v>81</v>
      </c>
      <c r="T3" s="20">
        <v>88</v>
      </c>
      <c r="U3" s="20">
        <v>26.1</v>
      </c>
      <c r="V3" s="20">
        <v>20</v>
      </c>
      <c r="W3" s="20">
        <v>22</v>
      </c>
      <c r="X3" s="20">
        <f>U3+V3+W3</f>
        <v>68.099999999999994</v>
      </c>
      <c r="Y3" s="20">
        <f>R3+S3+T3+X3</f>
        <v>313.10000000000002</v>
      </c>
      <c r="Z3" s="20">
        <v>82</v>
      </c>
      <c r="AA3" s="20">
        <v>79</v>
      </c>
      <c r="AB3" s="20">
        <v>78</v>
      </c>
      <c r="AC3" s="20">
        <v>31</v>
      </c>
      <c r="AD3" s="20">
        <v>38</v>
      </c>
      <c r="AE3" s="20">
        <v>24</v>
      </c>
      <c r="AF3" s="20">
        <v>93</v>
      </c>
      <c r="AG3" s="20">
        <v>332</v>
      </c>
    </row>
    <row r="4" spans="1:33" ht="17.5" x14ac:dyDescent="0.25">
      <c r="A4" s="19" t="s">
        <v>229</v>
      </c>
      <c r="B4" s="20">
        <v>80</v>
      </c>
      <c r="C4" s="20">
        <v>83</v>
      </c>
      <c r="D4" s="20">
        <v>89</v>
      </c>
      <c r="E4" s="20">
        <v>38</v>
      </c>
      <c r="F4" s="20">
        <v>43</v>
      </c>
      <c r="G4" s="20">
        <v>18</v>
      </c>
      <c r="H4" s="20">
        <v>99</v>
      </c>
      <c r="I4" s="20">
        <v>351</v>
      </c>
      <c r="J4" s="20">
        <v>72</v>
      </c>
      <c r="K4" s="20">
        <v>79</v>
      </c>
      <c r="L4" s="20">
        <v>76</v>
      </c>
      <c r="M4" s="20">
        <v>42</v>
      </c>
      <c r="N4" s="20">
        <v>35.299999999999997</v>
      </c>
      <c r="O4" s="20">
        <v>20</v>
      </c>
      <c r="P4" s="20">
        <f t="shared" ref="P4:P43" si="0">M4+O4+N4</f>
        <v>97.3</v>
      </c>
      <c r="Q4" s="20">
        <f t="shared" ref="Q4:Q43" si="1">J4+K4+L4+P4</f>
        <v>324.3</v>
      </c>
      <c r="R4" s="20">
        <v>84</v>
      </c>
      <c r="S4" s="20">
        <v>83</v>
      </c>
      <c r="T4" s="20">
        <v>96</v>
      </c>
      <c r="U4" s="20">
        <v>29.6</v>
      </c>
      <c r="V4" s="20">
        <v>32</v>
      </c>
      <c r="W4" s="20">
        <v>19</v>
      </c>
      <c r="X4" s="20">
        <f t="shared" ref="X4:X13" si="2">U4+V4+W4</f>
        <v>80.599999999999994</v>
      </c>
      <c r="Y4" s="20">
        <f t="shared" ref="Y4:Y17" si="3">R4+S4+T4+X4</f>
        <v>343.6</v>
      </c>
      <c r="Z4" s="20">
        <v>80</v>
      </c>
      <c r="AA4" s="20">
        <v>86</v>
      </c>
      <c r="AB4" s="20">
        <v>88</v>
      </c>
      <c r="AC4" s="20">
        <v>23.4</v>
      </c>
      <c r="AD4" s="20">
        <v>44</v>
      </c>
      <c r="AE4" s="20">
        <v>25</v>
      </c>
      <c r="AF4" s="20">
        <v>92.4</v>
      </c>
      <c r="AG4" s="20">
        <v>346.4</v>
      </c>
    </row>
    <row r="5" spans="1:33" ht="17.5" x14ac:dyDescent="0.25">
      <c r="A5" s="19" t="s">
        <v>230</v>
      </c>
      <c r="B5" s="20">
        <v>66</v>
      </c>
      <c r="C5" s="20">
        <v>67</v>
      </c>
      <c r="D5" s="20">
        <v>49</v>
      </c>
      <c r="E5" s="20">
        <v>35</v>
      </c>
      <c r="F5" s="20">
        <v>24</v>
      </c>
      <c r="G5" s="20">
        <v>14</v>
      </c>
      <c r="H5" s="20">
        <v>73</v>
      </c>
      <c r="I5" s="20">
        <v>255</v>
      </c>
      <c r="J5" s="20">
        <v>62</v>
      </c>
      <c r="K5" s="20">
        <v>58</v>
      </c>
      <c r="L5" s="20">
        <v>43</v>
      </c>
      <c r="M5" s="20">
        <v>15</v>
      </c>
      <c r="N5" s="20">
        <v>23.7</v>
      </c>
      <c r="O5" s="20">
        <v>21</v>
      </c>
      <c r="P5" s="20">
        <f t="shared" si="0"/>
        <v>59.7</v>
      </c>
      <c r="Q5" s="20">
        <f t="shared" si="1"/>
        <v>222.7</v>
      </c>
      <c r="R5" s="20"/>
      <c r="S5" s="20"/>
      <c r="T5" s="20"/>
      <c r="U5" s="20"/>
      <c r="V5" s="20"/>
      <c r="W5" s="20"/>
      <c r="X5" s="20"/>
      <c r="Y5" s="20"/>
      <c r="Z5" s="20">
        <v>70</v>
      </c>
      <c r="AA5" s="20">
        <v>57</v>
      </c>
      <c r="AB5" s="20">
        <v>80</v>
      </c>
      <c r="AC5" s="20">
        <v>19.100000000000001</v>
      </c>
      <c r="AD5" s="20">
        <v>18</v>
      </c>
      <c r="AE5" s="20">
        <v>16</v>
      </c>
      <c r="AF5" s="20">
        <v>53.1</v>
      </c>
      <c r="AG5" s="20">
        <v>260.10000000000002</v>
      </c>
    </row>
    <row r="6" spans="1:33" ht="17.5" x14ac:dyDescent="0.25">
      <c r="A6" s="19" t="s">
        <v>231</v>
      </c>
      <c r="B6" s="20">
        <v>92</v>
      </c>
      <c r="C6" s="20">
        <v>94</v>
      </c>
      <c r="D6" s="20">
        <v>77</v>
      </c>
      <c r="E6" s="20">
        <v>58</v>
      </c>
      <c r="F6" s="20">
        <v>46</v>
      </c>
      <c r="G6" s="20">
        <v>24</v>
      </c>
      <c r="H6" s="20">
        <v>128</v>
      </c>
      <c r="I6" s="20">
        <v>391</v>
      </c>
      <c r="J6" s="20"/>
      <c r="K6" s="20"/>
      <c r="L6" s="20"/>
      <c r="M6" s="20"/>
      <c r="N6" s="20"/>
      <c r="O6" s="20"/>
      <c r="P6" s="20"/>
      <c r="Q6" s="20"/>
      <c r="R6" s="20">
        <v>86</v>
      </c>
      <c r="S6" s="20">
        <v>100</v>
      </c>
      <c r="T6" s="20">
        <v>78</v>
      </c>
      <c r="U6" s="20">
        <v>41.2</v>
      </c>
      <c r="V6" s="20">
        <v>26</v>
      </c>
      <c r="W6" s="20">
        <v>24</v>
      </c>
      <c r="X6" s="20">
        <f t="shared" si="2"/>
        <v>91.2</v>
      </c>
      <c r="Y6" s="20">
        <f t="shared" si="3"/>
        <v>355.2</v>
      </c>
      <c r="Z6" s="20">
        <v>94</v>
      </c>
      <c r="AA6" s="20">
        <v>98</v>
      </c>
      <c r="AB6" s="20">
        <v>73</v>
      </c>
      <c r="AC6" s="20">
        <v>48.9</v>
      </c>
      <c r="AD6" s="20">
        <v>41</v>
      </c>
      <c r="AE6" s="20">
        <v>22</v>
      </c>
      <c r="AF6" s="20">
        <v>111.9</v>
      </c>
      <c r="AG6" s="20">
        <v>376.9</v>
      </c>
    </row>
    <row r="7" spans="1:33" ht="17.5" x14ac:dyDescent="0.25">
      <c r="A7" s="19" t="s">
        <v>232</v>
      </c>
      <c r="B7" s="20">
        <v>86</v>
      </c>
      <c r="C7" s="20">
        <v>86</v>
      </c>
      <c r="D7" s="20">
        <v>92</v>
      </c>
      <c r="E7" s="20">
        <v>45</v>
      </c>
      <c r="F7" s="20">
        <v>44</v>
      </c>
      <c r="G7" s="20">
        <v>20</v>
      </c>
      <c r="H7" s="20">
        <v>109</v>
      </c>
      <c r="I7" s="20">
        <v>373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7"/>
      <c r="AA7" s="27"/>
      <c r="AB7" s="27"/>
      <c r="AC7" s="27"/>
      <c r="AD7" s="27"/>
      <c r="AE7" s="27"/>
      <c r="AF7" s="27"/>
      <c r="AG7" s="27"/>
    </row>
    <row r="8" spans="1:33" ht="17.5" x14ac:dyDescent="0.25">
      <c r="A8" s="19" t="s">
        <v>233</v>
      </c>
      <c r="B8" s="20">
        <v>74</v>
      </c>
      <c r="C8" s="20">
        <v>73</v>
      </c>
      <c r="D8" s="20">
        <v>66</v>
      </c>
      <c r="E8" s="20">
        <v>29</v>
      </c>
      <c r="F8" s="20">
        <v>30</v>
      </c>
      <c r="G8" s="20">
        <v>18</v>
      </c>
      <c r="H8" s="20">
        <v>77</v>
      </c>
      <c r="I8" s="20">
        <v>290</v>
      </c>
      <c r="J8" s="20">
        <v>56</v>
      </c>
      <c r="K8" s="20">
        <v>59</v>
      </c>
      <c r="L8" s="20">
        <v>80</v>
      </c>
      <c r="M8" s="20">
        <v>18</v>
      </c>
      <c r="N8" s="20">
        <v>22.6</v>
      </c>
      <c r="O8" s="20">
        <v>20</v>
      </c>
      <c r="P8" s="20">
        <f t="shared" si="0"/>
        <v>60.6</v>
      </c>
      <c r="Q8" s="20">
        <f t="shared" si="1"/>
        <v>255.6</v>
      </c>
      <c r="R8" s="20">
        <v>58</v>
      </c>
      <c r="S8" s="20">
        <v>52</v>
      </c>
      <c r="T8" s="20">
        <v>86</v>
      </c>
      <c r="U8" s="20">
        <v>23.5</v>
      </c>
      <c r="V8" s="20">
        <v>24</v>
      </c>
      <c r="W8" s="20">
        <v>23</v>
      </c>
      <c r="X8" s="20">
        <f t="shared" si="2"/>
        <v>70.5</v>
      </c>
      <c r="Y8" s="20">
        <f t="shared" si="3"/>
        <v>266.5</v>
      </c>
      <c r="Z8" s="20">
        <v>74</v>
      </c>
      <c r="AA8" s="20">
        <v>78</v>
      </c>
      <c r="AB8" s="20">
        <v>73</v>
      </c>
      <c r="AC8" s="20">
        <v>24.2</v>
      </c>
      <c r="AD8" s="20">
        <v>25</v>
      </c>
      <c r="AE8" s="20">
        <v>17</v>
      </c>
      <c r="AF8" s="20">
        <v>66.2</v>
      </c>
      <c r="AG8" s="20">
        <v>291.2</v>
      </c>
    </row>
    <row r="9" spans="1:33" ht="17.5" x14ac:dyDescent="0.25">
      <c r="A9" s="19" t="s">
        <v>234</v>
      </c>
      <c r="B9" s="20">
        <v>94</v>
      </c>
      <c r="C9" s="20">
        <v>95</v>
      </c>
      <c r="D9" s="20">
        <v>93</v>
      </c>
      <c r="E9" s="20">
        <v>47</v>
      </c>
      <c r="F9" s="20">
        <v>38</v>
      </c>
      <c r="G9" s="20">
        <v>19</v>
      </c>
      <c r="H9" s="20">
        <v>104</v>
      </c>
      <c r="I9" s="20">
        <v>386</v>
      </c>
      <c r="J9" s="20">
        <v>82</v>
      </c>
      <c r="K9" s="20">
        <v>84</v>
      </c>
      <c r="L9" s="20">
        <v>90</v>
      </c>
      <c r="M9" s="20">
        <v>41</v>
      </c>
      <c r="N9" s="20">
        <v>46.4</v>
      </c>
      <c r="O9" s="20">
        <v>24</v>
      </c>
      <c r="P9" s="20">
        <f t="shared" si="0"/>
        <v>111.4</v>
      </c>
      <c r="Q9" s="20">
        <f t="shared" si="1"/>
        <v>367.4</v>
      </c>
      <c r="R9" s="20">
        <v>90</v>
      </c>
      <c r="S9" s="20">
        <v>86</v>
      </c>
      <c r="T9" s="20">
        <v>86</v>
      </c>
      <c r="U9" s="20">
        <v>48.7</v>
      </c>
      <c r="V9" s="20">
        <v>37</v>
      </c>
      <c r="W9" s="20">
        <v>27</v>
      </c>
      <c r="X9" s="20">
        <f t="shared" si="2"/>
        <v>112.7</v>
      </c>
      <c r="Y9" s="20">
        <f t="shared" si="3"/>
        <v>374.7</v>
      </c>
      <c r="Z9" s="20">
        <v>96</v>
      </c>
      <c r="AA9" s="20">
        <v>95</v>
      </c>
      <c r="AB9" s="20">
        <v>86</v>
      </c>
      <c r="AC9" s="20">
        <v>37</v>
      </c>
      <c r="AD9" s="20">
        <v>44</v>
      </c>
      <c r="AE9" s="20">
        <v>22</v>
      </c>
      <c r="AF9" s="20">
        <v>103</v>
      </c>
      <c r="AG9" s="20">
        <v>380</v>
      </c>
    </row>
    <row r="10" spans="1:33" ht="17.5" x14ac:dyDescent="0.25">
      <c r="A10" s="19" t="s">
        <v>235</v>
      </c>
      <c r="B10" s="20">
        <v>52</v>
      </c>
      <c r="C10" s="20">
        <v>58</v>
      </c>
      <c r="D10" s="20">
        <v>51</v>
      </c>
      <c r="E10" s="20">
        <v>21</v>
      </c>
      <c r="F10" s="20">
        <v>31</v>
      </c>
      <c r="G10" s="20">
        <v>16</v>
      </c>
      <c r="H10" s="20">
        <v>68</v>
      </c>
      <c r="I10" s="20">
        <v>229</v>
      </c>
      <c r="J10" s="20">
        <v>0</v>
      </c>
      <c r="K10" s="20"/>
      <c r="L10" s="20"/>
      <c r="M10" s="20"/>
      <c r="N10" s="20"/>
      <c r="O10" s="20"/>
      <c r="P10" s="20">
        <f t="shared" si="0"/>
        <v>0</v>
      </c>
      <c r="Q10" s="20">
        <f t="shared" si="1"/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f t="shared" si="2"/>
        <v>0</v>
      </c>
      <c r="Y10" s="20">
        <f t="shared" si="3"/>
        <v>0</v>
      </c>
      <c r="Z10" s="20">
        <v>86</v>
      </c>
      <c r="AA10" s="20">
        <v>73</v>
      </c>
      <c r="AB10" s="20">
        <v>41</v>
      </c>
      <c r="AC10" s="20">
        <v>34.700000000000003</v>
      </c>
      <c r="AD10" s="20">
        <v>35</v>
      </c>
      <c r="AE10" s="20">
        <v>16</v>
      </c>
      <c r="AF10" s="20">
        <v>85.7</v>
      </c>
      <c r="AG10" s="20">
        <v>285.7</v>
      </c>
    </row>
    <row r="11" spans="1:33" ht="17.5" x14ac:dyDescent="0.25">
      <c r="A11" s="19" t="s">
        <v>236</v>
      </c>
      <c r="B11" s="20">
        <v>70</v>
      </c>
      <c r="C11" s="20">
        <v>42</v>
      </c>
      <c r="D11" s="20">
        <v>50</v>
      </c>
      <c r="E11" s="20">
        <v>29</v>
      </c>
      <c r="F11" s="20">
        <v>36</v>
      </c>
      <c r="G11" s="20">
        <v>18</v>
      </c>
      <c r="H11" s="20">
        <v>83</v>
      </c>
      <c r="I11" s="20">
        <v>245</v>
      </c>
      <c r="J11" s="64">
        <v>70</v>
      </c>
      <c r="K11" s="64">
        <v>47</v>
      </c>
      <c r="L11" s="64">
        <v>52</v>
      </c>
      <c r="M11" s="64">
        <v>23</v>
      </c>
      <c r="N11" s="64">
        <v>24.4</v>
      </c>
      <c r="O11" s="64">
        <v>19</v>
      </c>
      <c r="P11" s="20">
        <f t="shared" si="0"/>
        <v>66.400000000000006</v>
      </c>
      <c r="Q11" s="20">
        <f t="shared" si="1"/>
        <v>235.4</v>
      </c>
      <c r="R11" s="64">
        <v>80</v>
      </c>
      <c r="S11" s="64">
        <v>61</v>
      </c>
      <c r="T11" s="64">
        <v>65</v>
      </c>
      <c r="U11" s="64">
        <v>22.7</v>
      </c>
      <c r="V11" s="64">
        <v>14</v>
      </c>
      <c r="W11" s="64">
        <v>24</v>
      </c>
      <c r="X11" s="20">
        <f t="shared" si="2"/>
        <v>60.7</v>
      </c>
      <c r="Y11" s="20">
        <f t="shared" si="3"/>
        <v>266.7</v>
      </c>
      <c r="Z11" s="20">
        <v>74</v>
      </c>
      <c r="AA11" s="20">
        <v>38</v>
      </c>
      <c r="AB11" s="20">
        <v>41</v>
      </c>
      <c r="AC11" s="20">
        <v>21.5</v>
      </c>
      <c r="AD11" s="20">
        <v>30</v>
      </c>
      <c r="AE11" s="20">
        <v>22</v>
      </c>
      <c r="AF11" s="20">
        <v>73.5</v>
      </c>
      <c r="AG11" s="20">
        <v>226.5</v>
      </c>
    </row>
    <row r="12" spans="1:33" ht="17.5" x14ac:dyDescent="0.25">
      <c r="A12" s="19" t="s">
        <v>237</v>
      </c>
      <c r="B12" s="20">
        <v>64</v>
      </c>
      <c r="C12" s="20">
        <v>62</v>
      </c>
      <c r="D12" s="20">
        <v>78</v>
      </c>
      <c r="E12" s="20">
        <v>16</v>
      </c>
      <c r="F12" s="20">
        <v>33</v>
      </c>
      <c r="G12" s="20">
        <v>15</v>
      </c>
      <c r="H12" s="20">
        <v>64</v>
      </c>
      <c r="I12" s="20">
        <v>268</v>
      </c>
      <c r="J12" s="64">
        <v>64</v>
      </c>
      <c r="K12" s="64">
        <v>74</v>
      </c>
      <c r="L12" s="64">
        <v>67</v>
      </c>
      <c r="M12" s="64">
        <v>17</v>
      </c>
      <c r="N12" s="64">
        <v>22.7</v>
      </c>
      <c r="O12" s="64">
        <v>20</v>
      </c>
      <c r="P12" s="20">
        <f t="shared" si="0"/>
        <v>59.7</v>
      </c>
      <c r="Q12" s="20">
        <f t="shared" si="1"/>
        <v>264.7</v>
      </c>
      <c r="R12" s="64">
        <v>70</v>
      </c>
      <c r="S12" s="64">
        <v>58</v>
      </c>
      <c r="T12" s="64">
        <v>67</v>
      </c>
      <c r="U12" s="64">
        <v>16.600000000000001</v>
      </c>
      <c r="V12" s="64">
        <v>21</v>
      </c>
      <c r="W12" s="64">
        <v>19</v>
      </c>
      <c r="X12" s="20">
        <f t="shared" si="2"/>
        <v>56.6</v>
      </c>
      <c r="Y12" s="20">
        <f t="shared" si="3"/>
        <v>251.6</v>
      </c>
      <c r="Z12" s="20">
        <v>68</v>
      </c>
      <c r="AA12" s="20">
        <v>57</v>
      </c>
      <c r="AB12" s="20">
        <v>49</v>
      </c>
      <c r="AC12" s="20">
        <v>28.5</v>
      </c>
      <c r="AD12" s="20">
        <v>27</v>
      </c>
      <c r="AE12" s="20">
        <v>18</v>
      </c>
      <c r="AF12" s="20">
        <v>73.5</v>
      </c>
      <c r="AG12" s="20">
        <v>247.5</v>
      </c>
    </row>
    <row r="13" spans="1:33" ht="17.5" x14ac:dyDescent="0.25">
      <c r="A13" s="19" t="s">
        <v>238</v>
      </c>
      <c r="B13" s="20">
        <v>84</v>
      </c>
      <c r="C13" s="20">
        <v>92</v>
      </c>
      <c r="D13" s="20">
        <v>74</v>
      </c>
      <c r="E13" s="20">
        <v>39</v>
      </c>
      <c r="F13" s="20">
        <v>39</v>
      </c>
      <c r="G13" s="20">
        <v>18</v>
      </c>
      <c r="H13" s="20">
        <v>96</v>
      </c>
      <c r="I13" s="20">
        <v>346</v>
      </c>
      <c r="J13" s="64">
        <v>84</v>
      </c>
      <c r="K13" s="64">
        <v>85</v>
      </c>
      <c r="L13" s="64">
        <v>82</v>
      </c>
      <c r="M13" s="64">
        <v>36</v>
      </c>
      <c r="N13" s="64">
        <v>37.9</v>
      </c>
      <c r="O13" s="64">
        <v>22</v>
      </c>
      <c r="P13" s="20">
        <f t="shared" si="0"/>
        <v>95.9</v>
      </c>
      <c r="Q13" s="20">
        <f t="shared" si="1"/>
        <v>346.9</v>
      </c>
      <c r="R13" s="64">
        <v>78</v>
      </c>
      <c r="S13" s="64">
        <v>96</v>
      </c>
      <c r="T13" s="64">
        <v>69</v>
      </c>
      <c r="U13" s="64">
        <v>33.6</v>
      </c>
      <c r="V13" s="64">
        <v>35</v>
      </c>
      <c r="W13" s="64">
        <v>23</v>
      </c>
      <c r="X13" s="20">
        <f t="shared" si="2"/>
        <v>91.6</v>
      </c>
      <c r="Y13" s="20">
        <f t="shared" si="3"/>
        <v>334.6</v>
      </c>
      <c r="Z13" s="20">
        <v>86</v>
      </c>
      <c r="AA13" s="20">
        <v>92</v>
      </c>
      <c r="AB13" s="20">
        <v>77</v>
      </c>
      <c r="AC13" s="20">
        <v>26.8</v>
      </c>
      <c r="AD13" s="20">
        <v>42</v>
      </c>
      <c r="AE13" s="20">
        <v>27</v>
      </c>
      <c r="AF13" s="20">
        <v>95.8</v>
      </c>
      <c r="AG13" s="20">
        <v>350.8</v>
      </c>
    </row>
    <row r="14" spans="1:33" ht="17.5" x14ac:dyDescent="0.25">
      <c r="A14" s="19" t="s">
        <v>239</v>
      </c>
      <c r="B14" s="20">
        <v>90</v>
      </c>
      <c r="C14" s="20">
        <v>68</v>
      </c>
      <c r="D14" s="20">
        <v>73</v>
      </c>
      <c r="E14" s="20">
        <v>41</v>
      </c>
      <c r="F14" s="20">
        <v>38</v>
      </c>
      <c r="G14" s="20">
        <v>17</v>
      </c>
      <c r="H14" s="20">
        <v>96</v>
      </c>
      <c r="I14" s="20">
        <v>327</v>
      </c>
      <c r="J14" s="64">
        <v>84</v>
      </c>
      <c r="K14" s="64">
        <v>78</v>
      </c>
      <c r="L14" s="64">
        <v>76</v>
      </c>
      <c r="M14" s="64">
        <v>23</v>
      </c>
      <c r="N14" s="64">
        <v>34.9</v>
      </c>
      <c r="O14" s="64">
        <v>20</v>
      </c>
      <c r="P14" s="20">
        <f t="shared" si="0"/>
        <v>77.900000000000006</v>
      </c>
      <c r="Q14" s="20">
        <f t="shared" si="1"/>
        <v>315.89999999999998</v>
      </c>
      <c r="R14" s="64">
        <v>90</v>
      </c>
      <c r="S14" s="64">
        <v>80</v>
      </c>
      <c r="T14" s="64">
        <v>71</v>
      </c>
      <c r="U14" s="64">
        <v>38.6</v>
      </c>
      <c r="V14" s="64">
        <v>22</v>
      </c>
      <c r="W14" s="64">
        <v>27</v>
      </c>
      <c r="X14" s="20">
        <f t="shared" ref="X14:X25" si="4">U14+V14+W14</f>
        <v>87.6</v>
      </c>
      <c r="Y14" s="20">
        <f t="shared" si="3"/>
        <v>328.6</v>
      </c>
      <c r="Z14" s="20">
        <v>88</v>
      </c>
      <c r="AA14" s="20">
        <v>77</v>
      </c>
      <c r="AB14" s="20">
        <v>68</v>
      </c>
      <c r="AC14" s="20">
        <v>31.8</v>
      </c>
      <c r="AD14" s="20">
        <v>31</v>
      </c>
      <c r="AE14" s="20">
        <v>25</v>
      </c>
      <c r="AF14" s="20">
        <v>87.8</v>
      </c>
      <c r="AG14" s="20">
        <v>320.8</v>
      </c>
    </row>
    <row r="15" spans="1:33" ht="17.5" x14ac:dyDescent="0.25">
      <c r="A15" s="19" t="s">
        <v>240</v>
      </c>
      <c r="B15" s="20">
        <v>88</v>
      </c>
      <c r="C15" s="20">
        <v>83</v>
      </c>
      <c r="D15" s="20">
        <v>73</v>
      </c>
      <c r="E15" s="20">
        <v>46</v>
      </c>
      <c r="F15" s="20">
        <v>35</v>
      </c>
      <c r="G15" s="20">
        <v>21</v>
      </c>
      <c r="H15" s="20">
        <v>102</v>
      </c>
      <c r="I15" s="20">
        <v>346</v>
      </c>
      <c r="J15" s="64">
        <v>80</v>
      </c>
      <c r="K15" s="64">
        <v>75</v>
      </c>
      <c r="L15" s="64">
        <v>75</v>
      </c>
      <c r="M15" s="64">
        <v>16</v>
      </c>
      <c r="N15" s="64">
        <v>29.4</v>
      </c>
      <c r="O15" s="64">
        <v>23</v>
      </c>
      <c r="P15" s="20">
        <f t="shared" si="0"/>
        <v>68.400000000000006</v>
      </c>
      <c r="Q15" s="20">
        <f t="shared" si="1"/>
        <v>298.39999999999998</v>
      </c>
      <c r="R15" s="64">
        <v>84</v>
      </c>
      <c r="S15" s="64">
        <v>56</v>
      </c>
      <c r="T15" s="64">
        <v>73</v>
      </c>
      <c r="U15" s="64">
        <v>19</v>
      </c>
      <c r="V15" s="64">
        <v>24</v>
      </c>
      <c r="W15" s="64">
        <v>21</v>
      </c>
      <c r="X15" s="20">
        <f t="shared" si="4"/>
        <v>64</v>
      </c>
      <c r="Y15" s="20">
        <f t="shared" si="3"/>
        <v>277</v>
      </c>
      <c r="Z15" s="20">
        <v>92</v>
      </c>
      <c r="AA15" s="20">
        <v>71</v>
      </c>
      <c r="AB15" s="20">
        <v>66</v>
      </c>
      <c r="AC15" s="20">
        <v>13.2</v>
      </c>
      <c r="AD15" s="20">
        <v>20</v>
      </c>
      <c r="AE15" s="20">
        <v>22</v>
      </c>
      <c r="AF15" s="20">
        <v>55.2</v>
      </c>
      <c r="AG15" s="20">
        <v>284.2</v>
      </c>
    </row>
    <row r="16" spans="1:33" ht="17.5" x14ac:dyDescent="0.25">
      <c r="A16" s="19" t="s">
        <v>241</v>
      </c>
      <c r="B16" s="20">
        <v>80</v>
      </c>
      <c r="C16" s="20">
        <v>69</v>
      </c>
      <c r="D16" s="20">
        <v>67</v>
      </c>
      <c r="E16" s="20">
        <v>17</v>
      </c>
      <c r="F16" s="20">
        <v>33</v>
      </c>
      <c r="G16" s="20">
        <v>15</v>
      </c>
      <c r="H16" s="20">
        <v>65</v>
      </c>
      <c r="I16" s="20">
        <v>281</v>
      </c>
      <c r="J16" s="64">
        <v>52</v>
      </c>
      <c r="K16" s="64">
        <v>66</v>
      </c>
      <c r="L16" s="64">
        <v>68</v>
      </c>
      <c r="M16" s="64">
        <v>22</v>
      </c>
      <c r="N16" s="64">
        <v>18.600000000000001</v>
      </c>
      <c r="O16" s="64">
        <v>18</v>
      </c>
      <c r="P16" s="20">
        <f t="shared" si="0"/>
        <v>58.6</v>
      </c>
      <c r="Q16" s="20">
        <f t="shared" si="1"/>
        <v>244.6</v>
      </c>
      <c r="R16" s="64">
        <v>68</v>
      </c>
      <c r="S16" s="64">
        <v>60</v>
      </c>
      <c r="T16" s="64">
        <v>57</v>
      </c>
      <c r="U16" s="64">
        <v>25.9</v>
      </c>
      <c r="V16" s="64">
        <v>28</v>
      </c>
      <c r="W16" s="64">
        <v>18</v>
      </c>
      <c r="X16" s="20">
        <f t="shared" si="4"/>
        <v>71.900000000000006</v>
      </c>
      <c r="Y16" s="20">
        <f t="shared" si="3"/>
        <v>256.89999999999998</v>
      </c>
      <c r="Z16" s="20">
        <v>88</v>
      </c>
      <c r="AA16" s="20">
        <v>81</v>
      </c>
      <c r="AB16" s="20">
        <v>68</v>
      </c>
      <c r="AC16" s="20">
        <v>22.4</v>
      </c>
      <c r="AD16" s="20">
        <v>32</v>
      </c>
      <c r="AE16" s="20">
        <v>20</v>
      </c>
      <c r="AF16" s="20">
        <v>74.400000000000006</v>
      </c>
      <c r="AG16" s="20">
        <v>311.39999999999998</v>
      </c>
    </row>
    <row r="17" spans="1:33" ht="17.5" x14ac:dyDescent="0.25">
      <c r="A17" s="19" t="s">
        <v>242</v>
      </c>
      <c r="B17" s="20">
        <v>54</v>
      </c>
      <c r="C17" s="20">
        <v>61</v>
      </c>
      <c r="D17" s="20">
        <v>69</v>
      </c>
      <c r="E17" s="20">
        <v>29</v>
      </c>
      <c r="F17" s="20">
        <v>19</v>
      </c>
      <c r="G17" s="20">
        <v>14</v>
      </c>
      <c r="H17" s="20">
        <v>62</v>
      </c>
      <c r="I17" s="20">
        <v>246</v>
      </c>
      <c r="J17" s="20"/>
      <c r="K17" s="20"/>
      <c r="L17" s="20"/>
      <c r="M17" s="20"/>
      <c r="N17" s="20"/>
      <c r="O17" s="20"/>
      <c r="P17" s="20"/>
      <c r="Q17" s="20"/>
      <c r="R17" s="20">
        <v>56</v>
      </c>
      <c r="S17" s="20">
        <v>56</v>
      </c>
      <c r="T17" s="20">
        <v>56</v>
      </c>
      <c r="U17" s="20">
        <v>16.600000000000001</v>
      </c>
      <c r="V17" s="20">
        <v>15</v>
      </c>
      <c r="W17" s="20">
        <v>19</v>
      </c>
      <c r="X17" s="20">
        <f t="shared" si="4"/>
        <v>50.6</v>
      </c>
      <c r="Y17" s="20">
        <f t="shared" si="3"/>
        <v>218.6</v>
      </c>
      <c r="Z17" s="20">
        <v>66</v>
      </c>
      <c r="AA17" s="20">
        <v>48</v>
      </c>
      <c r="AB17" s="20">
        <v>67</v>
      </c>
      <c r="AC17" s="20">
        <v>18</v>
      </c>
      <c r="AD17" s="20">
        <v>18</v>
      </c>
      <c r="AE17" s="20">
        <v>18</v>
      </c>
      <c r="AF17" s="20">
        <v>54</v>
      </c>
      <c r="AG17" s="20">
        <v>235</v>
      </c>
    </row>
    <row r="18" spans="1:33" x14ac:dyDescent="0.25">
      <c r="A18" s="20" t="s">
        <v>243</v>
      </c>
      <c r="B18" s="20">
        <v>50</v>
      </c>
      <c r="C18" s="20">
        <v>49</v>
      </c>
      <c r="D18" s="20">
        <v>88</v>
      </c>
      <c r="E18" s="20">
        <v>20</v>
      </c>
      <c r="F18" s="20">
        <v>25</v>
      </c>
      <c r="G18" s="20">
        <v>18</v>
      </c>
      <c r="H18" s="20">
        <v>63</v>
      </c>
      <c r="I18" s="20">
        <v>250</v>
      </c>
      <c r="J18" s="64">
        <v>50</v>
      </c>
      <c r="K18" s="64">
        <v>63</v>
      </c>
      <c r="L18" s="64">
        <v>79</v>
      </c>
      <c r="M18" s="64">
        <v>19</v>
      </c>
      <c r="N18" s="64">
        <v>17.100000000000001</v>
      </c>
      <c r="O18" s="64">
        <v>20</v>
      </c>
      <c r="P18" s="20">
        <f t="shared" si="0"/>
        <v>56.1</v>
      </c>
      <c r="Q18" s="20">
        <f t="shared" si="1"/>
        <v>248.1</v>
      </c>
      <c r="R18" s="64">
        <v>64</v>
      </c>
      <c r="S18" s="64">
        <v>47</v>
      </c>
      <c r="T18" s="64">
        <v>77</v>
      </c>
      <c r="U18" s="64">
        <v>19.100000000000001</v>
      </c>
      <c r="V18" s="64">
        <v>11</v>
      </c>
      <c r="W18" s="64">
        <v>18</v>
      </c>
      <c r="X18" s="20">
        <f t="shared" si="4"/>
        <v>48.1</v>
      </c>
      <c r="Y18" s="20">
        <f t="shared" ref="Y18:Y31" si="5">R18+S18+T18+X18</f>
        <v>236.1</v>
      </c>
      <c r="Z18" s="20">
        <v>50</v>
      </c>
      <c r="AA18" s="20">
        <v>81</v>
      </c>
      <c r="AB18" s="20">
        <v>84</v>
      </c>
      <c r="AC18" s="20">
        <v>19.8</v>
      </c>
      <c r="AD18" s="20">
        <v>18</v>
      </c>
      <c r="AE18" s="20">
        <v>15</v>
      </c>
      <c r="AF18" s="20">
        <v>52.8</v>
      </c>
      <c r="AG18" s="20">
        <v>267.8</v>
      </c>
    </row>
    <row r="19" spans="1:33" x14ac:dyDescent="0.25">
      <c r="A19" s="20" t="s">
        <v>244</v>
      </c>
      <c r="B19" s="20">
        <v>84</v>
      </c>
      <c r="C19" s="20">
        <v>86</v>
      </c>
      <c r="D19" s="20">
        <v>77</v>
      </c>
      <c r="E19" s="20">
        <v>29</v>
      </c>
      <c r="F19" s="20">
        <v>37</v>
      </c>
      <c r="G19" s="20">
        <v>26</v>
      </c>
      <c r="H19" s="20">
        <v>92</v>
      </c>
      <c r="I19" s="20">
        <v>339</v>
      </c>
      <c r="J19" s="20"/>
      <c r="K19" s="20"/>
      <c r="L19" s="20"/>
      <c r="M19" s="20"/>
      <c r="N19" s="20"/>
      <c r="O19" s="20"/>
      <c r="P19" s="20"/>
      <c r="Q19" s="20"/>
      <c r="R19" s="20">
        <v>88</v>
      </c>
      <c r="S19" s="20">
        <v>90</v>
      </c>
      <c r="T19" s="20">
        <v>79</v>
      </c>
      <c r="U19" s="20">
        <v>36.1</v>
      </c>
      <c r="V19" s="20">
        <v>29</v>
      </c>
      <c r="W19" s="20">
        <v>27</v>
      </c>
      <c r="X19" s="20">
        <f t="shared" si="4"/>
        <v>92.1</v>
      </c>
      <c r="Y19" s="20">
        <f t="shared" si="5"/>
        <v>349.1</v>
      </c>
      <c r="Z19" s="20">
        <v>90</v>
      </c>
      <c r="AA19" s="20">
        <v>95</v>
      </c>
      <c r="AB19" s="20">
        <v>79</v>
      </c>
      <c r="AC19" s="20">
        <v>37.5</v>
      </c>
      <c r="AD19" s="20">
        <v>40</v>
      </c>
      <c r="AE19" s="20">
        <v>22</v>
      </c>
      <c r="AF19" s="20">
        <v>99.5</v>
      </c>
      <c r="AG19" s="20">
        <v>363.5</v>
      </c>
    </row>
    <row r="20" spans="1:33" x14ac:dyDescent="0.25">
      <c r="A20" s="20" t="s">
        <v>245</v>
      </c>
      <c r="B20" s="20">
        <v>78</v>
      </c>
      <c r="C20" s="20">
        <v>83</v>
      </c>
      <c r="D20" s="20">
        <v>84</v>
      </c>
      <c r="E20" s="20">
        <v>28</v>
      </c>
      <c r="F20" s="20">
        <v>37</v>
      </c>
      <c r="G20" s="20">
        <v>21</v>
      </c>
      <c r="H20" s="20">
        <v>86</v>
      </c>
      <c r="I20" s="20">
        <v>331</v>
      </c>
      <c r="J20" s="64">
        <v>68</v>
      </c>
      <c r="K20" s="64">
        <v>64</v>
      </c>
      <c r="L20" s="64">
        <v>75</v>
      </c>
      <c r="M20" s="64">
        <v>23</v>
      </c>
      <c r="N20" s="64">
        <v>24.4</v>
      </c>
      <c r="O20" s="64">
        <v>16</v>
      </c>
      <c r="P20" s="20">
        <f t="shared" si="0"/>
        <v>63.4</v>
      </c>
      <c r="Q20" s="20">
        <f t="shared" si="1"/>
        <v>270.39999999999998</v>
      </c>
      <c r="R20" s="64">
        <v>72</v>
      </c>
      <c r="S20" s="64">
        <v>89</v>
      </c>
      <c r="T20" s="64">
        <v>78</v>
      </c>
      <c r="U20" s="64">
        <v>35.4</v>
      </c>
      <c r="V20" s="64">
        <v>20</v>
      </c>
      <c r="W20" s="64">
        <v>18</v>
      </c>
      <c r="X20" s="20">
        <f t="shared" si="4"/>
        <v>73.400000000000006</v>
      </c>
      <c r="Y20" s="20">
        <f t="shared" si="5"/>
        <v>312.39999999999998</v>
      </c>
      <c r="Z20" s="20">
        <v>84</v>
      </c>
      <c r="AA20" s="20">
        <v>89</v>
      </c>
      <c r="AB20" s="20">
        <v>69</v>
      </c>
      <c r="AC20" s="20">
        <v>29.2</v>
      </c>
      <c r="AD20" s="20">
        <v>38</v>
      </c>
      <c r="AE20" s="20">
        <v>22</v>
      </c>
      <c r="AF20" s="20">
        <v>89.2</v>
      </c>
      <c r="AG20" s="20">
        <v>331.2</v>
      </c>
    </row>
    <row r="21" spans="1:33" x14ac:dyDescent="0.25">
      <c r="A21" s="20" t="s">
        <v>246</v>
      </c>
      <c r="B21" s="20">
        <v>72</v>
      </c>
      <c r="C21" s="20">
        <v>64</v>
      </c>
      <c r="D21" s="20">
        <v>79</v>
      </c>
      <c r="E21" s="20">
        <v>25</v>
      </c>
      <c r="F21" s="20">
        <v>38</v>
      </c>
      <c r="G21" s="20">
        <v>23</v>
      </c>
      <c r="H21" s="20">
        <v>86</v>
      </c>
      <c r="I21" s="20">
        <v>301</v>
      </c>
      <c r="J21" s="64">
        <v>72</v>
      </c>
      <c r="K21" s="64">
        <v>60</v>
      </c>
      <c r="L21" s="64">
        <v>69</v>
      </c>
      <c r="M21" s="64">
        <v>20</v>
      </c>
      <c r="N21" s="64">
        <v>22.7</v>
      </c>
      <c r="O21" s="64">
        <v>23</v>
      </c>
      <c r="P21" s="20">
        <f t="shared" si="0"/>
        <v>65.7</v>
      </c>
      <c r="Q21" s="20">
        <f t="shared" si="1"/>
        <v>266.7</v>
      </c>
      <c r="R21" s="64">
        <v>98</v>
      </c>
      <c r="S21" s="64">
        <v>92</v>
      </c>
      <c r="T21" s="64">
        <v>85</v>
      </c>
      <c r="U21" s="64">
        <v>42.4</v>
      </c>
      <c r="V21" s="64">
        <v>28</v>
      </c>
      <c r="W21" s="64">
        <v>20</v>
      </c>
      <c r="X21" s="20">
        <f t="shared" si="4"/>
        <v>90.4</v>
      </c>
      <c r="Y21" s="20">
        <f t="shared" si="5"/>
        <v>365.4</v>
      </c>
      <c r="Z21" s="20">
        <v>92</v>
      </c>
      <c r="AA21" s="20">
        <v>86</v>
      </c>
      <c r="AB21" s="20">
        <v>72</v>
      </c>
      <c r="AC21" s="20">
        <v>34.700000000000003</v>
      </c>
      <c r="AD21" s="20">
        <v>44</v>
      </c>
      <c r="AE21" s="20">
        <v>21</v>
      </c>
      <c r="AF21" s="20">
        <v>99.7</v>
      </c>
      <c r="AG21" s="20">
        <v>349.7</v>
      </c>
    </row>
    <row r="22" spans="1:33" x14ac:dyDescent="0.25">
      <c r="A22" s="20" t="s">
        <v>247</v>
      </c>
      <c r="B22" s="20">
        <v>68</v>
      </c>
      <c r="C22" s="20">
        <v>0</v>
      </c>
      <c r="D22" s="20">
        <v>57</v>
      </c>
      <c r="E22" s="20">
        <v>26</v>
      </c>
      <c r="F22" s="20">
        <v>37</v>
      </c>
      <c r="G22" s="20">
        <v>26</v>
      </c>
      <c r="H22" s="20">
        <v>89</v>
      </c>
      <c r="I22" s="20">
        <v>214</v>
      </c>
      <c r="J22" s="64">
        <v>56</v>
      </c>
      <c r="K22" s="64">
        <v>57</v>
      </c>
      <c r="L22" s="64">
        <v>62</v>
      </c>
      <c r="M22" s="64">
        <v>15</v>
      </c>
      <c r="N22" s="64">
        <v>22.7</v>
      </c>
      <c r="O22" s="64">
        <v>22</v>
      </c>
      <c r="P22" s="20">
        <f t="shared" si="0"/>
        <v>59.7</v>
      </c>
      <c r="Q22" s="20">
        <f t="shared" si="1"/>
        <v>234.7</v>
      </c>
      <c r="R22" s="64">
        <v>90</v>
      </c>
      <c r="S22" s="64">
        <v>84</v>
      </c>
      <c r="T22" s="64">
        <v>78</v>
      </c>
      <c r="U22" s="64">
        <v>41.2</v>
      </c>
      <c r="V22" s="64">
        <v>20</v>
      </c>
      <c r="W22" s="64">
        <v>18</v>
      </c>
      <c r="X22" s="20">
        <f t="shared" si="4"/>
        <v>79.2</v>
      </c>
      <c r="Y22" s="20">
        <f t="shared" si="5"/>
        <v>331.2</v>
      </c>
      <c r="Z22" s="20">
        <v>92</v>
      </c>
      <c r="AA22" s="20">
        <v>98</v>
      </c>
      <c r="AB22" s="20">
        <v>76</v>
      </c>
      <c r="AC22" s="20">
        <v>43</v>
      </c>
      <c r="AD22" s="20">
        <v>42</v>
      </c>
      <c r="AE22" s="20">
        <v>26</v>
      </c>
      <c r="AF22" s="20">
        <v>111</v>
      </c>
      <c r="AG22" s="20">
        <v>377</v>
      </c>
    </row>
    <row r="23" spans="1:33" x14ac:dyDescent="0.25">
      <c r="A23" s="20" t="s">
        <v>248</v>
      </c>
      <c r="B23" s="20">
        <v>78</v>
      </c>
      <c r="C23" s="20">
        <v>59</v>
      </c>
      <c r="D23" s="20">
        <v>47</v>
      </c>
      <c r="E23" s="20">
        <v>29</v>
      </c>
      <c r="F23" s="20">
        <v>32</v>
      </c>
      <c r="G23" s="20">
        <v>21</v>
      </c>
      <c r="H23" s="20">
        <v>82</v>
      </c>
      <c r="I23" s="20">
        <v>266</v>
      </c>
      <c r="J23" s="64">
        <v>64</v>
      </c>
      <c r="K23" s="64">
        <v>73</v>
      </c>
      <c r="L23" s="64">
        <v>56</v>
      </c>
      <c r="M23" s="64">
        <v>15</v>
      </c>
      <c r="N23" s="64">
        <v>24.4</v>
      </c>
      <c r="O23" s="64">
        <v>19</v>
      </c>
      <c r="P23" s="20">
        <f t="shared" si="0"/>
        <v>58.4</v>
      </c>
      <c r="Q23" s="20">
        <f t="shared" si="1"/>
        <v>251.4</v>
      </c>
      <c r="R23" s="64">
        <v>96</v>
      </c>
      <c r="S23" s="64">
        <v>83</v>
      </c>
      <c r="T23" s="64">
        <v>75</v>
      </c>
      <c r="U23" s="64">
        <v>52.4</v>
      </c>
      <c r="V23" s="64">
        <v>29</v>
      </c>
      <c r="W23" s="64">
        <v>22</v>
      </c>
      <c r="X23" s="20">
        <f t="shared" si="4"/>
        <v>103.4</v>
      </c>
      <c r="Y23" s="20">
        <f t="shared" si="5"/>
        <v>357.4</v>
      </c>
      <c r="Z23" s="20">
        <v>90</v>
      </c>
      <c r="AA23" s="20">
        <v>83</v>
      </c>
      <c r="AB23" s="20">
        <v>70</v>
      </c>
      <c r="AC23" s="20">
        <v>46.4</v>
      </c>
      <c r="AD23" s="20">
        <v>46</v>
      </c>
      <c r="AE23" s="20">
        <v>26</v>
      </c>
      <c r="AF23" s="20">
        <v>118.4</v>
      </c>
      <c r="AG23" s="20">
        <v>361.4</v>
      </c>
    </row>
    <row r="24" spans="1:33" x14ac:dyDescent="0.25">
      <c r="A24" s="20" t="s">
        <v>249</v>
      </c>
      <c r="B24" s="20">
        <v>84</v>
      </c>
      <c r="C24" s="20">
        <v>83</v>
      </c>
      <c r="D24" s="20">
        <v>57</v>
      </c>
      <c r="E24" s="20">
        <v>46</v>
      </c>
      <c r="F24" s="20">
        <v>40</v>
      </c>
      <c r="G24" s="20">
        <v>19</v>
      </c>
      <c r="H24" s="20">
        <v>105</v>
      </c>
      <c r="I24" s="20">
        <v>329</v>
      </c>
      <c r="J24" s="64">
        <v>82</v>
      </c>
      <c r="K24" s="64">
        <v>68</v>
      </c>
      <c r="L24" s="64">
        <v>59</v>
      </c>
      <c r="M24" s="64">
        <v>22</v>
      </c>
      <c r="N24" s="64">
        <v>49.8</v>
      </c>
      <c r="O24" s="64">
        <v>24</v>
      </c>
      <c r="P24" s="20">
        <f t="shared" si="0"/>
        <v>95.8</v>
      </c>
      <c r="Q24" s="20">
        <f t="shared" si="1"/>
        <v>304.8</v>
      </c>
      <c r="R24" s="64">
        <v>98</v>
      </c>
      <c r="S24" s="64">
        <v>92</v>
      </c>
      <c r="T24" s="64">
        <v>85</v>
      </c>
      <c r="U24" s="64">
        <v>58.3</v>
      </c>
      <c r="V24" s="64">
        <v>27</v>
      </c>
      <c r="W24" s="64">
        <v>27</v>
      </c>
      <c r="X24" s="20">
        <f t="shared" si="4"/>
        <v>112.3</v>
      </c>
      <c r="Y24" s="20">
        <f t="shared" si="5"/>
        <v>387.3</v>
      </c>
      <c r="Z24" s="20">
        <v>94</v>
      </c>
      <c r="AA24" s="20">
        <v>93</v>
      </c>
      <c r="AB24" s="20">
        <v>81</v>
      </c>
      <c r="AC24" s="20">
        <v>49.7</v>
      </c>
      <c r="AD24" s="20">
        <v>44</v>
      </c>
      <c r="AE24" s="20">
        <v>25</v>
      </c>
      <c r="AF24" s="20">
        <v>118.7</v>
      </c>
      <c r="AG24" s="20">
        <v>386.7</v>
      </c>
    </row>
    <row r="25" spans="1:33" x14ac:dyDescent="0.25">
      <c r="A25" s="20" t="s">
        <v>250</v>
      </c>
      <c r="B25" s="20">
        <v>74</v>
      </c>
      <c r="C25" s="20">
        <v>90</v>
      </c>
      <c r="D25" s="20">
        <v>62</v>
      </c>
      <c r="E25" s="20">
        <v>30</v>
      </c>
      <c r="F25" s="20">
        <v>35</v>
      </c>
      <c r="G25" s="20">
        <v>19</v>
      </c>
      <c r="H25" s="20">
        <v>84</v>
      </c>
      <c r="I25" s="20">
        <v>310</v>
      </c>
      <c r="J25" s="64">
        <v>78</v>
      </c>
      <c r="K25" s="64">
        <v>86</v>
      </c>
      <c r="L25" s="64">
        <v>60</v>
      </c>
      <c r="M25" s="64">
        <v>40</v>
      </c>
      <c r="N25" s="64">
        <v>48.1</v>
      </c>
      <c r="O25" s="64">
        <v>23</v>
      </c>
      <c r="P25" s="20">
        <f t="shared" si="0"/>
        <v>111.1</v>
      </c>
      <c r="Q25" s="20">
        <f t="shared" si="1"/>
        <v>335.1</v>
      </c>
      <c r="R25" s="64">
        <v>92</v>
      </c>
      <c r="S25" s="64">
        <v>86</v>
      </c>
      <c r="T25" s="64">
        <v>83</v>
      </c>
      <c r="U25" s="64">
        <v>52.4</v>
      </c>
      <c r="V25" s="64">
        <v>28</v>
      </c>
      <c r="W25" s="64">
        <v>22</v>
      </c>
      <c r="X25" s="20">
        <f t="shared" si="4"/>
        <v>102.4</v>
      </c>
      <c r="Y25" s="20">
        <f t="shared" si="5"/>
        <v>363.4</v>
      </c>
      <c r="Z25" s="20">
        <v>96</v>
      </c>
      <c r="AA25" s="20">
        <v>88</v>
      </c>
      <c r="AB25" s="20">
        <v>76</v>
      </c>
      <c r="AC25" s="20">
        <v>40.4</v>
      </c>
      <c r="AD25" s="20">
        <v>44</v>
      </c>
      <c r="AE25" s="20">
        <v>25</v>
      </c>
      <c r="AF25" s="20">
        <v>109.4</v>
      </c>
      <c r="AG25" s="20">
        <v>369.4</v>
      </c>
    </row>
    <row r="26" spans="1:33" x14ac:dyDescent="0.25">
      <c r="A26" s="20" t="s">
        <v>251</v>
      </c>
      <c r="B26" s="20">
        <v>58</v>
      </c>
      <c r="C26" s="20">
        <v>91</v>
      </c>
      <c r="D26" s="20">
        <v>31</v>
      </c>
      <c r="E26" s="20">
        <v>21</v>
      </c>
      <c r="F26" s="20">
        <v>28</v>
      </c>
      <c r="G26" s="20">
        <v>11</v>
      </c>
      <c r="H26" s="20">
        <v>60</v>
      </c>
      <c r="I26" s="20">
        <v>240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>
        <v>78</v>
      </c>
      <c r="AA26" s="20">
        <v>56</v>
      </c>
      <c r="AB26" s="20">
        <v>46</v>
      </c>
      <c r="AC26" s="20">
        <v>19.899999999999999</v>
      </c>
      <c r="AD26" s="20">
        <v>25</v>
      </c>
      <c r="AE26" s="20">
        <v>21</v>
      </c>
      <c r="AF26" s="20">
        <v>65.900000000000006</v>
      </c>
      <c r="AG26" s="20">
        <v>245.9</v>
      </c>
    </row>
    <row r="27" spans="1:33" x14ac:dyDescent="0.25">
      <c r="A27" s="20" t="s">
        <v>252</v>
      </c>
      <c r="B27" s="20">
        <v>92</v>
      </c>
      <c r="C27" s="20">
        <v>69</v>
      </c>
      <c r="D27" s="20">
        <v>78</v>
      </c>
      <c r="E27" s="20">
        <v>41</v>
      </c>
      <c r="F27" s="20">
        <v>38</v>
      </c>
      <c r="G27" s="20">
        <v>24</v>
      </c>
      <c r="H27" s="20">
        <v>103</v>
      </c>
      <c r="I27" s="20">
        <v>342</v>
      </c>
      <c r="J27" s="64">
        <v>78</v>
      </c>
      <c r="K27" s="64">
        <v>61</v>
      </c>
      <c r="L27" s="64">
        <v>82</v>
      </c>
      <c r="M27" s="64">
        <v>23</v>
      </c>
      <c r="N27" s="64">
        <v>45.5</v>
      </c>
      <c r="O27" s="64">
        <v>23</v>
      </c>
      <c r="P27" s="20">
        <f t="shared" si="0"/>
        <v>91.5</v>
      </c>
      <c r="Q27" s="20">
        <f t="shared" si="1"/>
        <v>312.5</v>
      </c>
      <c r="R27" s="64">
        <v>98</v>
      </c>
      <c r="S27" s="64">
        <v>95</v>
      </c>
      <c r="T27" s="64">
        <v>85</v>
      </c>
      <c r="U27" s="64">
        <v>54.9</v>
      </c>
      <c r="V27" s="64">
        <v>23</v>
      </c>
      <c r="W27" s="64">
        <v>23</v>
      </c>
      <c r="X27" s="20">
        <f t="shared" ref="X27:X43" si="6">U27+V27+W27</f>
        <v>100.9</v>
      </c>
      <c r="Y27" s="20">
        <f t="shared" si="5"/>
        <v>378.9</v>
      </c>
      <c r="Z27" s="27">
        <v>94</v>
      </c>
      <c r="AA27" s="27">
        <v>75</v>
      </c>
      <c r="AB27" s="27">
        <v>71</v>
      </c>
      <c r="AC27" s="27">
        <v>40.1</v>
      </c>
      <c r="AD27" s="27">
        <v>40</v>
      </c>
      <c r="AE27" s="27">
        <v>23</v>
      </c>
      <c r="AF27" s="27">
        <v>103.1</v>
      </c>
      <c r="AG27" s="27">
        <v>343.1</v>
      </c>
    </row>
    <row r="28" spans="1:33" x14ac:dyDescent="0.25">
      <c r="A28" s="20" t="s">
        <v>253</v>
      </c>
      <c r="B28" s="20">
        <v>68</v>
      </c>
      <c r="C28" s="20">
        <v>51</v>
      </c>
      <c r="D28" s="20">
        <v>66</v>
      </c>
      <c r="E28" s="20">
        <v>28</v>
      </c>
      <c r="F28" s="20">
        <v>40</v>
      </c>
      <c r="G28" s="20">
        <v>19</v>
      </c>
      <c r="H28" s="20">
        <v>87</v>
      </c>
      <c r="I28" s="20">
        <v>272</v>
      </c>
      <c r="J28" s="64">
        <v>74</v>
      </c>
      <c r="K28" s="64">
        <v>50</v>
      </c>
      <c r="L28" s="64">
        <v>71</v>
      </c>
      <c r="M28" s="64">
        <v>24</v>
      </c>
      <c r="N28" s="64">
        <v>33.5</v>
      </c>
      <c r="O28" s="64">
        <v>19</v>
      </c>
      <c r="P28" s="20">
        <f t="shared" si="0"/>
        <v>76.5</v>
      </c>
      <c r="Q28" s="20">
        <f t="shared" si="1"/>
        <v>271.5</v>
      </c>
      <c r="R28" s="64">
        <v>70</v>
      </c>
      <c r="S28" s="64">
        <v>38</v>
      </c>
      <c r="T28" s="64">
        <v>71</v>
      </c>
      <c r="U28" s="64">
        <v>30.9</v>
      </c>
      <c r="V28" s="64">
        <v>23</v>
      </c>
      <c r="W28" s="64">
        <v>21</v>
      </c>
      <c r="X28" s="20">
        <f t="shared" si="6"/>
        <v>74.900000000000006</v>
      </c>
      <c r="Y28" s="20">
        <f t="shared" si="5"/>
        <v>253.9</v>
      </c>
      <c r="Z28" s="20">
        <v>92</v>
      </c>
      <c r="AA28" s="20">
        <v>66</v>
      </c>
      <c r="AB28" s="20">
        <v>79</v>
      </c>
      <c r="AC28" s="20">
        <v>35.299999999999997</v>
      </c>
      <c r="AD28" s="20">
        <v>24</v>
      </c>
      <c r="AE28" s="20">
        <v>20</v>
      </c>
      <c r="AF28" s="20">
        <v>79.3</v>
      </c>
      <c r="AG28" s="20">
        <v>316.3</v>
      </c>
    </row>
    <row r="29" spans="1:33" x14ac:dyDescent="0.25">
      <c r="A29" s="20" t="s">
        <v>254</v>
      </c>
      <c r="B29" s="20">
        <v>60</v>
      </c>
      <c r="C29" s="20">
        <v>41</v>
      </c>
      <c r="D29" s="20">
        <v>74</v>
      </c>
      <c r="E29" s="20">
        <v>25</v>
      </c>
      <c r="F29" s="20">
        <v>25</v>
      </c>
      <c r="G29" s="20">
        <v>17</v>
      </c>
      <c r="H29" s="20">
        <v>67</v>
      </c>
      <c r="I29" s="20">
        <v>242</v>
      </c>
      <c r="J29" s="64">
        <v>72</v>
      </c>
      <c r="K29" s="64">
        <v>50</v>
      </c>
      <c r="L29" s="64">
        <v>70</v>
      </c>
      <c r="M29" s="64">
        <v>16</v>
      </c>
      <c r="N29" s="64">
        <v>25.3</v>
      </c>
      <c r="O29" s="64">
        <v>19</v>
      </c>
      <c r="P29" s="20">
        <f t="shared" si="0"/>
        <v>60.3</v>
      </c>
      <c r="Q29" s="20">
        <f t="shared" si="1"/>
        <v>252.3</v>
      </c>
      <c r="R29" s="64">
        <v>74</v>
      </c>
      <c r="S29" s="64">
        <v>43</v>
      </c>
      <c r="T29" s="64">
        <v>73</v>
      </c>
      <c r="U29" s="64">
        <v>18.3</v>
      </c>
      <c r="V29" s="64">
        <v>21</v>
      </c>
      <c r="W29" s="64">
        <v>15</v>
      </c>
      <c r="X29" s="20">
        <f t="shared" si="6"/>
        <v>54.3</v>
      </c>
      <c r="Y29" s="20">
        <f t="shared" si="5"/>
        <v>244.3</v>
      </c>
      <c r="Z29" s="20">
        <v>70</v>
      </c>
      <c r="AA29" s="20">
        <v>67</v>
      </c>
      <c r="AB29" s="20">
        <v>70</v>
      </c>
      <c r="AC29" s="20">
        <v>14.9</v>
      </c>
      <c r="AD29" s="20">
        <v>17</v>
      </c>
      <c r="AE29" s="20">
        <v>13</v>
      </c>
      <c r="AF29" s="20">
        <v>44.9</v>
      </c>
      <c r="AG29" s="20">
        <v>251.9</v>
      </c>
    </row>
    <row r="30" spans="1:33" x14ac:dyDescent="0.25">
      <c r="A30" s="20" t="s">
        <v>255</v>
      </c>
      <c r="B30" s="20">
        <v>60</v>
      </c>
      <c r="C30" s="20">
        <v>36</v>
      </c>
      <c r="D30" s="20">
        <v>32</v>
      </c>
      <c r="E30" s="20">
        <v>25</v>
      </c>
      <c r="F30" s="20">
        <v>26</v>
      </c>
      <c r="G30" s="20">
        <v>12</v>
      </c>
      <c r="H30" s="20">
        <v>63</v>
      </c>
      <c r="I30" s="20">
        <v>191</v>
      </c>
      <c r="J30" s="64">
        <v>54</v>
      </c>
      <c r="K30" s="64">
        <v>57</v>
      </c>
      <c r="L30" s="64">
        <v>66</v>
      </c>
      <c r="M30" s="64">
        <v>18</v>
      </c>
      <c r="N30" s="64">
        <v>26</v>
      </c>
      <c r="O30" s="64">
        <v>16</v>
      </c>
      <c r="P30" s="20">
        <f t="shared" si="0"/>
        <v>60</v>
      </c>
      <c r="Q30" s="20">
        <f t="shared" si="1"/>
        <v>237</v>
      </c>
      <c r="R30" s="64">
        <v>64</v>
      </c>
      <c r="S30" s="64">
        <v>72</v>
      </c>
      <c r="T30" s="64">
        <v>67</v>
      </c>
      <c r="U30" s="64">
        <v>28.3</v>
      </c>
      <c r="V30" s="64">
        <v>15</v>
      </c>
      <c r="W30" s="64">
        <v>17</v>
      </c>
      <c r="X30" s="20">
        <f t="shared" si="6"/>
        <v>60.3</v>
      </c>
      <c r="Y30" s="20">
        <f t="shared" si="5"/>
        <v>263.3</v>
      </c>
      <c r="Z30" s="27"/>
      <c r="AA30" s="27"/>
      <c r="AB30" s="27"/>
      <c r="AC30" s="27"/>
      <c r="AD30" s="27"/>
      <c r="AE30" s="27"/>
      <c r="AF30" s="27"/>
      <c r="AG30" s="27"/>
    </row>
    <row r="31" spans="1:33" x14ac:dyDescent="0.25">
      <c r="A31" s="20" t="s">
        <v>256</v>
      </c>
      <c r="B31" s="20">
        <v>58</v>
      </c>
      <c r="C31" s="20">
        <v>80</v>
      </c>
      <c r="D31" s="20">
        <v>23</v>
      </c>
      <c r="E31" s="20">
        <v>36</v>
      </c>
      <c r="F31" s="20">
        <v>36</v>
      </c>
      <c r="G31" s="20">
        <v>14</v>
      </c>
      <c r="H31" s="20">
        <v>86</v>
      </c>
      <c r="I31" s="20">
        <v>247</v>
      </c>
      <c r="J31" s="64">
        <v>62</v>
      </c>
      <c r="K31" s="64">
        <v>73</v>
      </c>
      <c r="L31" s="64">
        <v>40</v>
      </c>
      <c r="M31" s="64">
        <v>30</v>
      </c>
      <c r="N31" s="64">
        <v>34.299999999999997</v>
      </c>
      <c r="O31" s="64">
        <v>19</v>
      </c>
      <c r="P31" s="20">
        <f t="shared" si="0"/>
        <v>83.3</v>
      </c>
      <c r="Q31" s="20">
        <f t="shared" si="1"/>
        <v>258.3</v>
      </c>
      <c r="R31" s="64">
        <v>58</v>
      </c>
      <c r="S31" s="64">
        <v>90</v>
      </c>
      <c r="T31" s="64">
        <v>42</v>
      </c>
      <c r="U31" s="64">
        <v>35.200000000000003</v>
      </c>
      <c r="V31" s="64">
        <v>23</v>
      </c>
      <c r="W31" s="64">
        <v>27</v>
      </c>
      <c r="X31" s="20">
        <f t="shared" si="6"/>
        <v>85.2</v>
      </c>
      <c r="Y31" s="20">
        <f t="shared" si="5"/>
        <v>275.2</v>
      </c>
      <c r="Z31" s="20">
        <v>70</v>
      </c>
      <c r="AA31" s="20">
        <v>62</v>
      </c>
      <c r="AB31" s="20">
        <v>53</v>
      </c>
      <c r="AC31" s="20">
        <v>37.9</v>
      </c>
      <c r="AD31" s="20">
        <v>25</v>
      </c>
      <c r="AE31" s="20">
        <v>23</v>
      </c>
      <c r="AF31" s="20">
        <v>85.9</v>
      </c>
      <c r="AG31" s="20">
        <v>270.89999999999998</v>
      </c>
    </row>
    <row r="32" spans="1:33" x14ac:dyDescent="0.25">
      <c r="A32" s="20" t="s">
        <v>257</v>
      </c>
      <c r="B32" s="20">
        <v>66</v>
      </c>
      <c r="C32" s="20">
        <v>69</v>
      </c>
      <c r="D32" s="20">
        <v>42</v>
      </c>
      <c r="E32" s="20">
        <v>36</v>
      </c>
      <c r="F32" s="20">
        <v>37</v>
      </c>
      <c r="G32" s="20">
        <v>10</v>
      </c>
      <c r="H32" s="20">
        <v>83</v>
      </c>
      <c r="I32" s="20">
        <v>260</v>
      </c>
      <c r="J32" s="64">
        <v>78</v>
      </c>
      <c r="K32" s="64">
        <v>70</v>
      </c>
      <c r="L32" s="64">
        <v>38</v>
      </c>
      <c r="M32" s="64">
        <v>18</v>
      </c>
      <c r="N32" s="64">
        <v>37.700000000000003</v>
      </c>
      <c r="O32" s="64">
        <v>18</v>
      </c>
      <c r="P32" s="20">
        <f t="shared" si="0"/>
        <v>73.7</v>
      </c>
      <c r="Q32" s="20">
        <f t="shared" si="1"/>
        <v>259.7</v>
      </c>
      <c r="R32" s="64">
        <v>60</v>
      </c>
      <c r="S32" s="64">
        <v>75</v>
      </c>
      <c r="T32" s="64">
        <v>32</v>
      </c>
      <c r="U32" s="64">
        <v>35.200000000000003</v>
      </c>
      <c r="V32" s="64">
        <v>11</v>
      </c>
      <c r="W32" s="64">
        <v>13</v>
      </c>
      <c r="X32" s="20">
        <f t="shared" si="6"/>
        <v>59.2</v>
      </c>
      <c r="Y32" s="20">
        <f t="shared" ref="Y32:Y43" si="7">R32+S32+T32+X32</f>
        <v>226.2</v>
      </c>
      <c r="Z32" s="20">
        <v>58</v>
      </c>
      <c r="AA32" s="20">
        <v>65</v>
      </c>
      <c r="AB32" s="20">
        <v>36</v>
      </c>
      <c r="AC32" s="20">
        <v>38</v>
      </c>
      <c r="AD32" s="20">
        <v>27</v>
      </c>
      <c r="AE32" s="20">
        <v>17</v>
      </c>
      <c r="AF32" s="20">
        <v>82</v>
      </c>
      <c r="AG32" s="20">
        <v>241</v>
      </c>
    </row>
    <row r="33" spans="1:33" x14ac:dyDescent="0.25">
      <c r="A33" s="20" t="s">
        <v>258</v>
      </c>
      <c r="B33" s="20">
        <v>82</v>
      </c>
      <c r="C33" s="20">
        <v>92</v>
      </c>
      <c r="D33" s="20">
        <v>77</v>
      </c>
      <c r="E33" s="20">
        <v>42</v>
      </c>
      <c r="F33" s="20">
        <v>36</v>
      </c>
      <c r="G33" s="20">
        <v>16</v>
      </c>
      <c r="H33" s="20">
        <v>94</v>
      </c>
      <c r="I33" s="20">
        <v>345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>
        <v>82</v>
      </c>
      <c r="AA33" s="20">
        <v>65</v>
      </c>
      <c r="AB33" s="20">
        <v>70</v>
      </c>
      <c r="AC33" s="20">
        <v>25.2</v>
      </c>
      <c r="AD33" s="20">
        <v>35</v>
      </c>
      <c r="AE33" s="20">
        <v>22</v>
      </c>
      <c r="AF33" s="20">
        <v>82.2</v>
      </c>
      <c r="AG33" s="20">
        <v>299.2</v>
      </c>
    </row>
    <row r="34" spans="1:33" x14ac:dyDescent="0.25">
      <c r="A34" s="20" t="s">
        <v>259</v>
      </c>
      <c r="B34" s="20">
        <v>80</v>
      </c>
      <c r="C34" s="20">
        <v>80</v>
      </c>
      <c r="D34" s="20">
        <v>36</v>
      </c>
      <c r="E34" s="20">
        <v>44</v>
      </c>
      <c r="F34" s="20">
        <v>45</v>
      </c>
      <c r="G34" s="20">
        <v>22</v>
      </c>
      <c r="H34" s="20">
        <v>111</v>
      </c>
      <c r="I34" s="20">
        <v>307</v>
      </c>
      <c r="J34" s="64">
        <v>80</v>
      </c>
      <c r="K34" s="64">
        <v>63</v>
      </c>
      <c r="L34" s="64">
        <v>31</v>
      </c>
      <c r="M34" s="64">
        <v>32</v>
      </c>
      <c r="N34" s="64">
        <v>44</v>
      </c>
      <c r="O34" s="64">
        <v>23</v>
      </c>
      <c r="P34" s="20">
        <f t="shared" si="0"/>
        <v>99</v>
      </c>
      <c r="Q34" s="20">
        <f t="shared" si="1"/>
        <v>273</v>
      </c>
      <c r="R34" s="64">
        <v>78</v>
      </c>
      <c r="S34" s="64">
        <v>73</v>
      </c>
      <c r="T34" s="64">
        <v>47</v>
      </c>
      <c r="U34" s="64">
        <v>36.1</v>
      </c>
      <c r="V34" s="64">
        <v>24</v>
      </c>
      <c r="W34" s="64">
        <v>28</v>
      </c>
      <c r="X34" s="20">
        <f t="shared" si="6"/>
        <v>88.1</v>
      </c>
      <c r="Y34" s="20">
        <f t="shared" si="7"/>
        <v>286.10000000000002</v>
      </c>
      <c r="Z34" s="20">
        <v>80</v>
      </c>
      <c r="AA34" s="20">
        <v>79</v>
      </c>
      <c r="AB34" s="20">
        <v>50</v>
      </c>
      <c r="AC34" s="20">
        <v>40.6</v>
      </c>
      <c r="AD34" s="20">
        <v>40</v>
      </c>
      <c r="AE34" s="20">
        <v>25</v>
      </c>
      <c r="AF34" s="20">
        <v>105.6</v>
      </c>
      <c r="AG34" s="20">
        <v>314.60000000000002</v>
      </c>
    </row>
    <row r="35" spans="1:33" x14ac:dyDescent="0.25">
      <c r="A35" s="20" t="s">
        <v>260</v>
      </c>
      <c r="B35" s="20">
        <v>70</v>
      </c>
      <c r="C35" s="20">
        <v>78</v>
      </c>
      <c r="D35" s="20">
        <v>50</v>
      </c>
      <c r="E35" s="20">
        <v>53</v>
      </c>
      <c r="F35" s="20">
        <v>40</v>
      </c>
      <c r="G35" s="20">
        <v>17</v>
      </c>
      <c r="H35" s="20">
        <v>110</v>
      </c>
      <c r="I35" s="20">
        <v>308</v>
      </c>
      <c r="J35" s="64">
        <v>68</v>
      </c>
      <c r="K35" s="64">
        <v>79</v>
      </c>
      <c r="L35" s="64">
        <v>44</v>
      </c>
      <c r="M35" s="64">
        <v>34</v>
      </c>
      <c r="N35" s="64">
        <v>45.4</v>
      </c>
      <c r="O35" s="64">
        <v>21</v>
      </c>
      <c r="P35" s="20">
        <f t="shared" si="0"/>
        <v>100.4</v>
      </c>
      <c r="Q35" s="20">
        <f t="shared" si="1"/>
        <v>291.39999999999998</v>
      </c>
      <c r="R35" s="64">
        <v>80</v>
      </c>
      <c r="S35" s="64">
        <v>96</v>
      </c>
      <c r="T35" s="64">
        <v>50</v>
      </c>
      <c r="U35" s="64">
        <v>36.1</v>
      </c>
      <c r="V35" s="64">
        <v>33</v>
      </c>
      <c r="W35" s="64">
        <v>26</v>
      </c>
      <c r="X35" s="20">
        <f t="shared" si="6"/>
        <v>95.1</v>
      </c>
      <c r="Y35" s="20">
        <f t="shared" si="7"/>
        <v>321.10000000000002</v>
      </c>
      <c r="Z35" s="20">
        <v>70</v>
      </c>
      <c r="AA35" s="20">
        <v>85</v>
      </c>
      <c r="AB35" s="20">
        <v>54</v>
      </c>
      <c r="AC35" s="20">
        <v>38.9</v>
      </c>
      <c r="AD35" s="20">
        <v>36</v>
      </c>
      <c r="AE35" s="20">
        <v>24</v>
      </c>
      <c r="AF35" s="20">
        <v>98.9</v>
      </c>
      <c r="AG35" s="20">
        <v>307.89999999999998</v>
      </c>
    </row>
    <row r="36" spans="1:33" x14ac:dyDescent="0.25">
      <c r="A36" s="20" t="s">
        <v>261</v>
      </c>
      <c r="B36" s="20">
        <v>70</v>
      </c>
      <c r="C36" s="20">
        <v>78</v>
      </c>
      <c r="D36" s="20">
        <v>45</v>
      </c>
      <c r="E36" s="20">
        <v>19</v>
      </c>
      <c r="F36" s="20">
        <v>24</v>
      </c>
      <c r="G36" s="20">
        <v>15</v>
      </c>
      <c r="H36" s="20">
        <v>58</v>
      </c>
      <c r="I36" s="20">
        <v>251</v>
      </c>
      <c r="J36" s="64">
        <v>80</v>
      </c>
      <c r="K36" s="64">
        <v>93</v>
      </c>
      <c r="L36" s="64">
        <v>49</v>
      </c>
      <c r="M36" s="64">
        <v>21</v>
      </c>
      <c r="N36" s="64">
        <v>33.6</v>
      </c>
      <c r="O36" s="64">
        <v>19</v>
      </c>
      <c r="P36" s="20">
        <f t="shared" si="0"/>
        <v>73.599999999999994</v>
      </c>
      <c r="Q36" s="20">
        <f t="shared" si="1"/>
        <v>295.60000000000002</v>
      </c>
      <c r="R36" s="64">
        <v>84</v>
      </c>
      <c r="S36" s="64">
        <v>99</v>
      </c>
      <c r="T36" s="64">
        <v>52</v>
      </c>
      <c r="U36" s="64">
        <v>35.5</v>
      </c>
      <c r="V36" s="64">
        <v>26</v>
      </c>
      <c r="W36" s="64">
        <v>20</v>
      </c>
      <c r="X36" s="20">
        <f t="shared" si="6"/>
        <v>81.5</v>
      </c>
      <c r="Y36" s="20">
        <f t="shared" si="7"/>
        <v>316.5</v>
      </c>
      <c r="Z36" s="20">
        <v>80</v>
      </c>
      <c r="AA36" s="20">
        <v>95</v>
      </c>
      <c r="AB36" s="20">
        <v>57</v>
      </c>
      <c r="AC36" s="20">
        <v>31.3</v>
      </c>
      <c r="AD36" s="20">
        <v>25</v>
      </c>
      <c r="AE36" s="20">
        <v>16</v>
      </c>
      <c r="AF36" s="20">
        <v>72.3</v>
      </c>
      <c r="AG36" s="20">
        <v>304.3</v>
      </c>
    </row>
    <row r="37" spans="1:33" x14ac:dyDescent="0.25">
      <c r="A37" s="20" t="s">
        <v>262</v>
      </c>
      <c r="B37" s="20">
        <v>82</v>
      </c>
      <c r="C37" s="20">
        <v>61</v>
      </c>
      <c r="D37" s="20">
        <v>50</v>
      </c>
      <c r="E37" s="20">
        <v>31</v>
      </c>
      <c r="F37" s="20">
        <v>35</v>
      </c>
      <c r="G37" s="20">
        <v>19</v>
      </c>
      <c r="H37" s="20">
        <v>85</v>
      </c>
      <c r="I37" s="20">
        <v>278</v>
      </c>
      <c r="J37" s="64">
        <v>76</v>
      </c>
      <c r="K37" s="64">
        <v>85</v>
      </c>
      <c r="L37" s="64">
        <v>72</v>
      </c>
      <c r="M37" s="64">
        <v>18</v>
      </c>
      <c r="N37" s="64">
        <v>28.5</v>
      </c>
      <c r="O37" s="64">
        <v>16</v>
      </c>
      <c r="P37" s="20">
        <f t="shared" si="0"/>
        <v>62.5</v>
      </c>
      <c r="Q37" s="20">
        <f t="shared" si="1"/>
        <v>295.5</v>
      </c>
      <c r="R37" s="64">
        <v>54</v>
      </c>
      <c r="S37" s="64">
        <v>86</v>
      </c>
      <c r="T37" s="64">
        <v>57</v>
      </c>
      <c r="U37" s="64">
        <v>33.700000000000003</v>
      </c>
      <c r="V37" s="64">
        <v>16</v>
      </c>
      <c r="W37" s="64">
        <v>23</v>
      </c>
      <c r="X37" s="20">
        <f t="shared" si="6"/>
        <v>72.7</v>
      </c>
      <c r="Y37" s="20">
        <f t="shared" si="7"/>
        <v>269.7</v>
      </c>
      <c r="Z37" s="20">
        <v>82</v>
      </c>
      <c r="AA37" s="20">
        <v>95</v>
      </c>
      <c r="AB37" s="20">
        <v>77</v>
      </c>
      <c r="AC37" s="20">
        <v>48</v>
      </c>
      <c r="AD37" s="20">
        <v>29</v>
      </c>
      <c r="AE37" s="20">
        <v>22</v>
      </c>
      <c r="AF37" s="20">
        <v>99</v>
      </c>
      <c r="AG37" s="20">
        <v>353</v>
      </c>
    </row>
    <row r="38" spans="1:33" x14ac:dyDescent="0.25">
      <c r="A38" s="20" t="s">
        <v>263</v>
      </c>
      <c r="B38" s="20">
        <v>94</v>
      </c>
      <c r="C38" s="20">
        <v>99</v>
      </c>
      <c r="D38" s="20">
        <v>87</v>
      </c>
      <c r="E38" s="20">
        <v>55</v>
      </c>
      <c r="F38" s="20">
        <v>58</v>
      </c>
      <c r="G38" s="20">
        <v>24</v>
      </c>
      <c r="H38" s="20">
        <v>137</v>
      </c>
      <c r="I38" s="20">
        <v>417</v>
      </c>
      <c r="J38" s="64">
        <v>90</v>
      </c>
      <c r="K38" s="64">
        <v>96</v>
      </c>
      <c r="L38" s="64">
        <v>88</v>
      </c>
      <c r="M38" s="64">
        <v>49</v>
      </c>
      <c r="N38" s="64">
        <v>51.3</v>
      </c>
      <c r="O38" s="64">
        <v>26</v>
      </c>
      <c r="P38" s="20">
        <f t="shared" si="0"/>
        <v>126.3</v>
      </c>
      <c r="Q38" s="20">
        <f t="shared" si="1"/>
        <v>400.3</v>
      </c>
      <c r="R38" s="64">
        <v>90</v>
      </c>
      <c r="S38" s="64">
        <v>96</v>
      </c>
      <c r="T38" s="64">
        <v>78</v>
      </c>
      <c r="U38" s="64">
        <v>46.4</v>
      </c>
      <c r="V38" s="64">
        <v>37</v>
      </c>
      <c r="W38" s="64">
        <v>24</v>
      </c>
      <c r="X38" s="20">
        <f t="shared" si="6"/>
        <v>107.4</v>
      </c>
      <c r="Y38" s="20">
        <f t="shared" si="7"/>
        <v>371.4</v>
      </c>
      <c r="Z38" s="20">
        <v>94</v>
      </c>
      <c r="AA38" s="20">
        <v>96</v>
      </c>
      <c r="AB38" s="20">
        <v>85</v>
      </c>
      <c r="AC38" s="20">
        <v>49.7</v>
      </c>
      <c r="AD38" s="20">
        <v>53</v>
      </c>
      <c r="AE38" s="20">
        <v>25</v>
      </c>
      <c r="AF38" s="20">
        <v>127.7</v>
      </c>
      <c r="AG38" s="20">
        <v>402.7</v>
      </c>
    </row>
    <row r="39" spans="1:33" x14ac:dyDescent="0.25">
      <c r="A39" s="20" t="s">
        <v>264</v>
      </c>
      <c r="B39" s="20">
        <v>74</v>
      </c>
      <c r="C39" s="20">
        <v>85</v>
      </c>
      <c r="D39" s="20">
        <v>61</v>
      </c>
      <c r="E39" s="20">
        <v>47</v>
      </c>
      <c r="F39" s="20">
        <v>47</v>
      </c>
      <c r="G39" s="20">
        <v>22</v>
      </c>
      <c r="H39" s="20">
        <v>116</v>
      </c>
      <c r="I39" s="20">
        <v>336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7"/>
      <c r="AA39" s="27"/>
      <c r="AB39" s="27"/>
      <c r="AC39" s="27"/>
      <c r="AD39" s="27"/>
      <c r="AE39" s="27"/>
      <c r="AF39" s="27"/>
      <c r="AG39" s="27"/>
    </row>
    <row r="40" spans="1:33" x14ac:dyDescent="0.25">
      <c r="A40" s="20" t="s">
        <v>265</v>
      </c>
      <c r="B40" s="27"/>
      <c r="C40" s="20"/>
      <c r="D40" s="20"/>
      <c r="E40" s="20"/>
      <c r="F40" s="20"/>
      <c r="G40" s="20"/>
      <c r="H40" s="20"/>
      <c r="I40" s="20"/>
      <c r="J40" s="64">
        <v>82</v>
      </c>
      <c r="K40" s="65">
        <v>75</v>
      </c>
      <c r="L40" s="65">
        <v>73</v>
      </c>
      <c r="M40" s="65">
        <v>29</v>
      </c>
      <c r="N40" s="65">
        <v>36.200000000000003</v>
      </c>
      <c r="O40" s="65">
        <v>21</v>
      </c>
      <c r="P40" s="20">
        <f t="shared" si="0"/>
        <v>86.2</v>
      </c>
      <c r="Q40" s="20">
        <f t="shared" si="1"/>
        <v>316.2</v>
      </c>
      <c r="R40" s="64">
        <v>80</v>
      </c>
      <c r="S40" s="65">
        <v>61</v>
      </c>
      <c r="T40" s="65">
        <v>62</v>
      </c>
      <c r="U40" s="65">
        <v>33.799999999999997</v>
      </c>
      <c r="V40" s="65">
        <v>24</v>
      </c>
      <c r="W40" s="65">
        <v>22</v>
      </c>
      <c r="X40" s="20">
        <f t="shared" si="6"/>
        <v>79.8</v>
      </c>
      <c r="Y40" s="20">
        <f t="shared" si="7"/>
        <v>282.8</v>
      </c>
      <c r="Z40" s="20">
        <v>88</v>
      </c>
      <c r="AA40" s="20">
        <v>63</v>
      </c>
      <c r="AB40" s="20">
        <v>61</v>
      </c>
      <c r="AC40" s="20">
        <v>36.4</v>
      </c>
      <c r="AD40" s="20">
        <v>34</v>
      </c>
      <c r="AE40" s="20">
        <v>18</v>
      </c>
      <c r="AF40" s="20">
        <v>88.4</v>
      </c>
      <c r="AG40" s="20">
        <v>300.39999999999998</v>
      </c>
    </row>
    <row r="41" spans="1:33" x14ac:dyDescent="0.25">
      <c r="A41" s="20" t="s">
        <v>266</v>
      </c>
      <c r="B41" s="27"/>
      <c r="C41" s="20"/>
      <c r="D41" s="20"/>
      <c r="E41" s="20"/>
      <c r="F41" s="20"/>
      <c r="G41" s="20"/>
      <c r="H41" s="20"/>
      <c r="I41" s="20"/>
      <c r="J41" s="64">
        <v>50</v>
      </c>
      <c r="K41" s="65">
        <v>79</v>
      </c>
      <c r="L41" s="65">
        <v>74</v>
      </c>
      <c r="M41" s="65">
        <v>31</v>
      </c>
      <c r="N41" s="65">
        <v>27.5</v>
      </c>
      <c r="O41" s="65">
        <v>19</v>
      </c>
      <c r="P41" s="20">
        <f t="shared" si="0"/>
        <v>77.5</v>
      </c>
      <c r="Q41" s="20">
        <f t="shared" si="1"/>
        <v>280.5</v>
      </c>
      <c r="R41" s="64">
        <v>96</v>
      </c>
      <c r="S41" s="65">
        <v>89</v>
      </c>
      <c r="T41" s="65">
        <v>80</v>
      </c>
      <c r="U41" s="65">
        <v>52.4</v>
      </c>
      <c r="V41" s="65">
        <v>24</v>
      </c>
      <c r="W41" s="65">
        <v>21</v>
      </c>
      <c r="X41" s="20">
        <f t="shared" si="6"/>
        <v>97.4</v>
      </c>
      <c r="Y41" s="20">
        <f t="shared" si="7"/>
        <v>362.4</v>
      </c>
      <c r="Z41" s="27"/>
      <c r="AA41" s="27"/>
      <c r="AB41" s="27"/>
      <c r="AC41" s="27"/>
      <c r="AD41" s="27"/>
      <c r="AE41" s="27"/>
      <c r="AF41" s="27"/>
      <c r="AG41" s="27"/>
    </row>
    <row r="42" spans="1:33" x14ac:dyDescent="0.25">
      <c r="A42" s="20" t="s">
        <v>267</v>
      </c>
      <c r="B42" s="27"/>
      <c r="C42" s="20"/>
      <c r="D42" s="20"/>
      <c r="E42" s="20"/>
      <c r="F42" s="20"/>
      <c r="G42" s="20"/>
      <c r="H42" s="20"/>
      <c r="I42" s="20"/>
      <c r="J42" s="64">
        <v>82</v>
      </c>
      <c r="K42" s="65">
        <v>84</v>
      </c>
      <c r="L42" s="65">
        <v>70</v>
      </c>
      <c r="M42" s="65">
        <v>19</v>
      </c>
      <c r="N42" s="65">
        <v>33.5</v>
      </c>
      <c r="O42" s="65">
        <v>18</v>
      </c>
      <c r="P42" s="20">
        <f t="shared" si="0"/>
        <v>70.5</v>
      </c>
      <c r="Q42" s="20">
        <f t="shared" si="1"/>
        <v>306.5</v>
      </c>
      <c r="R42" s="64">
        <v>94</v>
      </c>
      <c r="S42" s="65">
        <v>80</v>
      </c>
      <c r="T42" s="65">
        <v>61</v>
      </c>
      <c r="U42" s="65">
        <v>29.5</v>
      </c>
      <c r="V42" s="65">
        <v>27</v>
      </c>
      <c r="W42" s="65">
        <v>27</v>
      </c>
      <c r="X42" s="20">
        <f t="shared" si="6"/>
        <v>83.5</v>
      </c>
      <c r="Y42" s="20">
        <f t="shared" si="7"/>
        <v>318.5</v>
      </c>
      <c r="Z42" s="20">
        <v>98</v>
      </c>
      <c r="AA42" s="20">
        <v>68</v>
      </c>
      <c r="AB42" s="20">
        <v>81</v>
      </c>
      <c r="AC42" s="20">
        <v>43.6</v>
      </c>
      <c r="AD42" s="20">
        <v>25</v>
      </c>
      <c r="AE42" s="20">
        <v>24</v>
      </c>
      <c r="AF42" s="20">
        <v>92.6</v>
      </c>
      <c r="AG42" s="20">
        <v>339.6</v>
      </c>
    </row>
    <row r="43" spans="1:33" x14ac:dyDescent="0.25">
      <c r="A43" s="20" t="s">
        <v>268</v>
      </c>
      <c r="B43" s="27"/>
      <c r="C43" s="20"/>
      <c r="D43" s="20"/>
      <c r="E43" s="20"/>
      <c r="F43" s="20"/>
      <c r="G43" s="20"/>
      <c r="H43" s="20"/>
      <c r="I43" s="20"/>
      <c r="J43" s="64">
        <v>46</v>
      </c>
      <c r="K43" s="64">
        <v>51</v>
      </c>
      <c r="L43" s="64">
        <v>72</v>
      </c>
      <c r="M43" s="64">
        <v>23</v>
      </c>
      <c r="N43" s="64">
        <v>24.4</v>
      </c>
      <c r="O43" s="64">
        <v>19</v>
      </c>
      <c r="P43" s="20">
        <f t="shared" si="0"/>
        <v>66.400000000000006</v>
      </c>
      <c r="Q43" s="20">
        <f t="shared" si="1"/>
        <v>235.4</v>
      </c>
      <c r="R43" s="64">
        <v>52</v>
      </c>
      <c r="S43" s="64">
        <v>51</v>
      </c>
      <c r="T43" s="64">
        <v>56</v>
      </c>
      <c r="U43" s="64">
        <v>45.5</v>
      </c>
      <c r="V43" s="64">
        <v>24</v>
      </c>
      <c r="W43" s="27">
        <v>18</v>
      </c>
      <c r="X43" s="20">
        <f t="shared" si="6"/>
        <v>87.5</v>
      </c>
      <c r="Y43" s="20">
        <f t="shared" si="7"/>
        <v>246.5</v>
      </c>
      <c r="Z43" s="20">
        <v>64</v>
      </c>
      <c r="AA43" s="20">
        <v>51</v>
      </c>
      <c r="AB43" s="20">
        <v>64</v>
      </c>
      <c r="AC43" s="20">
        <v>18.100000000000001</v>
      </c>
      <c r="AD43" s="20">
        <v>20</v>
      </c>
      <c r="AE43" s="20">
        <v>17</v>
      </c>
      <c r="AF43" s="20">
        <v>55.1</v>
      </c>
      <c r="AG43" s="20">
        <v>234.1</v>
      </c>
    </row>
    <row r="44" spans="1:33" x14ac:dyDescent="0.25">
      <c r="A44" s="27" t="s">
        <v>269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>
        <v>78</v>
      </c>
      <c r="AA44" s="20">
        <v>56</v>
      </c>
      <c r="AB44" s="20">
        <v>66</v>
      </c>
      <c r="AC44" s="20">
        <v>28.5</v>
      </c>
      <c r="AD44" s="20">
        <v>25</v>
      </c>
      <c r="AE44" s="20">
        <v>21</v>
      </c>
      <c r="AF44" s="20">
        <v>74.5</v>
      </c>
      <c r="AG44" s="20">
        <v>274.5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B1:I1"/>
    <mergeCell ref="J1:Q1"/>
    <mergeCell ref="R1:Y1"/>
    <mergeCell ref="Z1:AG1"/>
  </mergeCells>
  <phoneticPr fontId="1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52"/>
  <sheetViews>
    <sheetView zoomScale="70" zoomScaleNormal="70" workbookViewId="0">
      <pane xSplit="1" ySplit="2" topLeftCell="B3" activePane="bottomRight" state="frozen"/>
      <selection pane="topRight"/>
      <selection pane="bottomLeft"/>
      <selection pane="bottomRight" activeCell="V10" sqref="V10"/>
    </sheetView>
  </sheetViews>
  <sheetFormatPr defaultColWidth="9.6328125" defaultRowHeight="14" x14ac:dyDescent="0.25"/>
  <cols>
    <col min="1" max="1" width="12.26953125" bestFit="1" customWidth="1"/>
    <col min="2" max="3" width="7.453125" bestFit="1" customWidth="1"/>
    <col min="4" max="8" width="9.26953125" bestFit="1" customWidth="1"/>
    <col min="9" max="11" width="7.453125" bestFit="1" customWidth="1"/>
    <col min="12" max="16" width="9.26953125" bestFit="1" customWidth="1"/>
    <col min="17" max="19" width="7.453125" bestFit="1" customWidth="1"/>
    <col min="20" max="24" width="9.26953125" bestFit="1" customWidth="1"/>
    <col min="25" max="25" width="7.453125" bestFit="1" customWidth="1"/>
    <col min="26" max="27" width="5.453125" bestFit="1" customWidth="1"/>
    <col min="28" max="32" width="9.26953125" bestFit="1" customWidth="1"/>
    <col min="33" max="33" width="6.7265625" bestFit="1" customWidth="1"/>
  </cols>
  <sheetData>
    <row r="1" spans="1:33" ht="17.5" x14ac:dyDescent="0.25">
      <c r="A1" s="4"/>
      <c r="B1" s="97" t="s">
        <v>0</v>
      </c>
      <c r="C1" s="98"/>
      <c r="D1" s="98"/>
      <c r="E1" s="98"/>
      <c r="F1" s="98"/>
      <c r="G1" s="98"/>
      <c r="H1" s="98"/>
      <c r="I1" s="98"/>
      <c r="J1" s="97" t="s">
        <v>1</v>
      </c>
      <c r="K1" s="98"/>
      <c r="L1" s="98"/>
      <c r="M1" s="98"/>
      <c r="N1" s="98"/>
      <c r="O1" s="98"/>
      <c r="P1" s="98"/>
      <c r="Q1" s="98"/>
      <c r="R1" s="97" t="s">
        <v>2</v>
      </c>
      <c r="S1" s="98"/>
      <c r="T1" s="98"/>
      <c r="U1" s="98"/>
      <c r="V1" s="98"/>
      <c r="W1" s="98"/>
      <c r="X1" s="98"/>
      <c r="Y1" s="98"/>
      <c r="Z1" s="97" t="s">
        <v>38</v>
      </c>
      <c r="AA1" s="98"/>
      <c r="AB1" s="98"/>
      <c r="AC1" s="98"/>
      <c r="AD1" s="98"/>
      <c r="AE1" s="98"/>
      <c r="AF1" s="98"/>
      <c r="AG1" s="98"/>
    </row>
    <row r="2" spans="1:33" ht="17.5" x14ac:dyDescent="0.25">
      <c r="A2" s="19" t="s">
        <v>5</v>
      </c>
      <c r="B2" s="20" t="s">
        <v>3</v>
      </c>
      <c r="C2" s="20" t="s">
        <v>4</v>
      </c>
      <c r="D2" s="78" t="s">
        <v>528</v>
      </c>
      <c r="E2" s="27" t="s">
        <v>39</v>
      </c>
      <c r="F2" s="27" t="s">
        <v>227</v>
      </c>
      <c r="G2" s="27" t="s">
        <v>95</v>
      </c>
      <c r="H2" s="27" t="s">
        <v>8</v>
      </c>
      <c r="I2" s="27" t="s">
        <v>9</v>
      </c>
      <c r="J2" s="20" t="s">
        <v>3</v>
      </c>
      <c r="K2" s="20" t="s">
        <v>4</v>
      </c>
      <c r="L2" s="78" t="s">
        <v>528</v>
      </c>
      <c r="M2" s="27" t="s">
        <v>39</v>
      </c>
      <c r="N2" s="27" t="s">
        <v>227</v>
      </c>
      <c r="O2" s="27" t="s">
        <v>95</v>
      </c>
      <c r="P2" s="27" t="s">
        <v>8</v>
      </c>
      <c r="Q2" s="27" t="s">
        <v>9</v>
      </c>
      <c r="R2" s="20" t="s">
        <v>3</v>
      </c>
      <c r="S2" s="20" t="s">
        <v>4</v>
      </c>
      <c r="T2" s="78" t="s">
        <v>528</v>
      </c>
      <c r="U2" s="27" t="s">
        <v>39</v>
      </c>
      <c r="V2" s="27" t="s">
        <v>227</v>
      </c>
      <c r="W2" s="27" t="s">
        <v>95</v>
      </c>
      <c r="X2" s="27" t="s">
        <v>8</v>
      </c>
      <c r="Y2" s="27" t="s">
        <v>9</v>
      </c>
      <c r="Z2" s="20" t="s">
        <v>3</v>
      </c>
      <c r="AA2" s="20" t="s">
        <v>4</v>
      </c>
      <c r="AB2" s="78" t="s">
        <v>528</v>
      </c>
      <c r="AC2" s="27" t="s">
        <v>39</v>
      </c>
      <c r="AD2" s="27" t="s">
        <v>227</v>
      </c>
      <c r="AE2" s="27" t="s">
        <v>95</v>
      </c>
      <c r="AF2" s="27" t="s">
        <v>8</v>
      </c>
      <c r="AG2" s="27" t="s">
        <v>9</v>
      </c>
    </row>
    <row r="3" spans="1:33" ht="17.5" x14ac:dyDescent="0.25">
      <c r="A3" s="19" t="s">
        <v>238</v>
      </c>
      <c r="B3" s="64">
        <v>74</v>
      </c>
      <c r="C3" s="64">
        <v>97</v>
      </c>
      <c r="D3" s="64">
        <v>80</v>
      </c>
      <c r="E3" s="64">
        <v>37</v>
      </c>
      <c r="F3" s="64">
        <v>51</v>
      </c>
      <c r="G3" s="64">
        <v>24</v>
      </c>
      <c r="H3" s="64">
        <v>112</v>
      </c>
      <c r="I3" s="64">
        <v>363</v>
      </c>
      <c r="J3" s="64">
        <v>74</v>
      </c>
      <c r="K3" s="64">
        <v>94</v>
      </c>
      <c r="L3" s="64">
        <v>88</v>
      </c>
      <c r="M3" s="64">
        <v>36</v>
      </c>
      <c r="N3" s="64">
        <v>44.5</v>
      </c>
      <c r="O3" s="64">
        <v>18</v>
      </c>
      <c r="P3" s="64">
        <v>98.5</v>
      </c>
      <c r="Q3" s="64">
        <v>354.5</v>
      </c>
      <c r="R3" s="64">
        <v>78</v>
      </c>
      <c r="S3" s="64">
        <v>99</v>
      </c>
      <c r="T3" s="64">
        <v>86</v>
      </c>
      <c r="U3" s="64">
        <v>36</v>
      </c>
      <c r="V3" s="64">
        <v>53.9</v>
      </c>
      <c r="W3" s="64">
        <v>21</v>
      </c>
      <c r="X3" s="64">
        <v>110.9</v>
      </c>
      <c r="Y3" s="64">
        <v>373.9</v>
      </c>
      <c r="Z3" s="64">
        <v>80</v>
      </c>
      <c r="AA3" s="64">
        <v>97</v>
      </c>
      <c r="AB3" s="64">
        <v>65</v>
      </c>
      <c r="AC3" s="64">
        <v>40</v>
      </c>
      <c r="AD3" s="64">
        <v>48.2</v>
      </c>
      <c r="AE3" s="64">
        <v>17</v>
      </c>
      <c r="AF3" s="64">
        <v>105.2</v>
      </c>
      <c r="AG3" s="64">
        <v>347.2</v>
      </c>
    </row>
    <row r="4" spans="1:33" ht="17.5" x14ac:dyDescent="0.25">
      <c r="A4" s="19" t="s">
        <v>271</v>
      </c>
      <c r="B4" s="64">
        <v>80</v>
      </c>
      <c r="C4" s="64">
        <v>90</v>
      </c>
      <c r="D4" s="64">
        <v>66</v>
      </c>
      <c r="E4" s="64">
        <v>32</v>
      </c>
      <c r="F4" s="64">
        <v>49</v>
      </c>
      <c r="G4" s="64">
        <v>21</v>
      </c>
      <c r="H4" s="64">
        <v>102</v>
      </c>
      <c r="I4" s="64">
        <v>338</v>
      </c>
      <c r="J4" s="64">
        <v>74</v>
      </c>
      <c r="K4" s="64">
        <v>92</v>
      </c>
      <c r="L4" s="64">
        <v>61</v>
      </c>
      <c r="M4" s="64">
        <v>33</v>
      </c>
      <c r="N4" s="64">
        <v>51.4</v>
      </c>
      <c r="O4" s="64">
        <v>19</v>
      </c>
      <c r="P4" s="64">
        <v>103.4</v>
      </c>
      <c r="Q4" s="64">
        <v>330.4</v>
      </c>
      <c r="R4" s="64">
        <v>88</v>
      </c>
      <c r="S4" s="64">
        <v>91</v>
      </c>
      <c r="T4" s="64">
        <v>54</v>
      </c>
      <c r="U4" s="64">
        <v>23</v>
      </c>
      <c r="V4" s="64">
        <v>45.5</v>
      </c>
      <c r="W4" s="64">
        <v>25</v>
      </c>
      <c r="X4" s="64">
        <v>93.5</v>
      </c>
      <c r="Y4" s="64">
        <v>326.5</v>
      </c>
      <c r="Z4" s="64">
        <v>90</v>
      </c>
      <c r="AA4" s="64">
        <v>90</v>
      </c>
      <c r="AB4" s="64">
        <v>59</v>
      </c>
      <c r="AC4" s="64">
        <v>37</v>
      </c>
      <c r="AD4" s="64">
        <v>45.5</v>
      </c>
      <c r="AE4" s="64">
        <v>20</v>
      </c>
      <c r="AF4" s="64">
        <v>102.5</v>
      </c>
      <c r="AG4" s="64">
        <v>341.5</v>
      </c>
    </row>
    <row r="5" spans="1:33" ht="17.5" x14ac:dyDescent="0.25">
      <c r="A5" s="19" t="s">
        <v>272</v>
      </c>
      <c r="B5" s="64">
        <v>70</v>
      </c>
      <c r="C5" s="64">
        <v>83</v>
      </c>
      <c r="D5" s="64">
        <v>70</v>
      </c>
      <c r="E5" s="64">
        <v>35</v>
      </c>
      <c r="F5" s="64">
        <v>20</v>
      </c>
      <c r="G5" s="64">
        <v>22</v>
      </c>
      <c r="H5" s="64">
        <v>77</v>
      </c>
      <c r="I5" s="64">
        <v>300</v>
      </c>
      <c r="J5" s="64">
        <v>68</v>
      </c>
      <c r="K5" s="64">
        <v>92</v>
      </c>
      <c r="L5" s="64">
        <v>69</v>
      </c>
      <c r="M5" s="64">
        <v>31</v>
      </c>
      <c r="N5" s="64">
        <v>28.6</v>
      </c>
      <c r="O5" s="64">
        <v>24</v>
      </c>
      <c r="P5" s="64">
        <v>83.6</v>
      </c>
      <c r="Q5" s="64">
        <v>312.60000000000002</v>
      </c>
      <c r="R5" s="64">
        <v>86</v>
      </c>
      <c r="S5" s="64">
        <v>84</v>
      </c>
      <c r="T5" s="64">
        <v>65</v>
      </c>
      <c r="U5" s="64">
        <v>20</v>
      </c>
      <c r="V5" s="64">
        <v>27.4</v>
      </c>
      <c r="W5" s="64">
        <v>24</v>
      </c>
      <c r="X5" s="64">
        <v>71.400000000000006</v>
      </c>
      <c r="Y5" s="64">
        <v>306.39999999999998</v>
      </c>
      <c r="Z5" s="64">
        <v>86</v>
      </c>
      <c r="AA5" s="64">
        <v>96</v>
      </c>
      <c r="AB5" s="64">
        <v>58</v>
      </c>
      <c r="AC5" s="64">
        <v>30</v>
      </c>
      <c r="AD5" s="64">
        <v>30.4</v>
      </c>
      <c r="AE5" s="64">
        <v>16</v>
      </c>
      <c r="AF5" s="64">
        <v>76.400000000000006</v>
      </c>
      <c r="AG5" s="64">
        <v>316.39999999999998</v>
      </c>
    </row>
    <row r="6" spans="1:33" ht="17.5" x14ac:dyDescent="0.25">
      <c r="A6" s="19" t="s">
        <v>273</v>
      </c>
      <c r="B6" s="64">
        <v>82</v>
      </c>
      <c r="C6" s="64">
        <v>88</v>
      </c>
      <c r="D6" s="64">
        <v>86</v>
      </c>
      <c r="E6" s="64">
        <v>33</v>
      </c>
      <c r="F6" s="64">
        <v>34</v>
      </c>
      <c r="G6" s="64">
        <v>17</v>
      </c>
      <c r="H6" s="64">
        <v>84</v>
      </c>
      <c r="I6" s="64">
        <v>340</v>
      </c>
      <c r="J6" s="64">
        <v>72</v>
      </c>
      <c r="K6" s="64">
        <v>87</v>
      </c>
      <c r="L6" s="64">
        <v>82</v>
      </c>
      <c r="M6" s="64">
        <v>33</v>
      </c>
      <c r="N6" s="64">
        <v>34.4</v>
      </c>
      <c r="O6" s="64">
        <v>17</v>
      </c>
      <c r="P6" s="64">
        <v>84.4</v>
      </c>
      <c r="Q6" s="64">
        <v>325.39999999999998</v>
      </c>
      <c r="R6" s="64">
        <v>88</v>
      </c>
      <c r="S6" s="64">
        <v>84</v>
      </c>
      <c r="T6" s="64">
        <v>89</v>
      </c>
      <c r="U6" s="64">
        <v>35</v>
      </c>
      <c r="V6" s="64">
        <v>32.200000000000003</v>
      </c>
      <c r="W6" s="64">
        <v>24</v>
      </c>
      <c r="X6" s="64">
        <v>91.2</v>
      </c>
      <c r="Y6" s="64">
        <v>352.2</v>
      </c>
      <c r="Z6" s="64">
        <v>82</v>
      </c>
      <c r="AA6" s="64">
        <v>80</v>
      </c>
      <c r="AB6" s="64">
        <v>90</v>
      </c>
      <c r="AC6" s="64">
        <v>27</v>
      </c>
      <c r="AD6" s="64">
        <v>28.4</v>
      </c>
      <c r="AE6" s="64">
        <v>19</v>
      </c>
      <c r="AF6" s="64">
        <v>74.400000000000006</v>
      </c>
      <c r="AG6" s="64">
        <v>326.39999999999998</v>
      </c>
    </row>
    <row r="7" spans="1:33" ht="17.5" x14ac:dyDescent="0.25">
      <c r="A7" s="19" t="s">
        <v>274</v>
      </c>
      <c r="B7" s="64">
        <v>78</v>
      </c>
      <c r="C7" s="64">
        <v>95</v>
      </c>
      <c r="D7" s="64">
        <v>93</v>
      </c>
      <c r="E7" s="64">
        <v>37</v>
      </c>
      <c r="F7" s="64">
        <v>27</v>
      </c>
      <c r="G7" s="64">
        <v>22</v>
      </c>
      <c r="H7" s="64">
        <v>86</v>
      </c>
      <c r="I7" s="64">
        <v>352</v>
      </c>
      <c r="J7" s="64">
        <v>84</v>
      </c>
      <c r="K7" s="64">
        <v>92</v>
      </c>
      <c r="L7" s="64">
        <v>92</v>
      </c>
      <c r="M7" s="64">
        <v>21</v>
      </c>
      <c r="N7" s="64">
        <v>27.8</v>
      </c>
      <c r="O7" s="64">
        <v>19</v>
      </c>
      <c r="P7" s="64">
        <v>67.8</v>
      </c>
      <c r="Q7" s="64">
        <v>335.8</v>
      </c>
      <c r="R7" s="64">
        <v>84</v>
      </c>
      <c r="S7" s="64">
        <v>78</v>
      </c>
      <c r="T7" s="64">
        <v>90</v>
      </c>
      <c r="U7" s="64">
        <v>17</v>
      </c>
      <c r="V7" s="64">
        <v>30.8</v>
      </c>
      <c r="W7" s="64">
        <v>26</v>
      </c>
      <c r="X7" s="64">
        <v>73.8</v>
      </c>
      <c r="Y7" s="64">
        <v>325.8</v>
      </c>
      <c r="Z7" s="64">
        <v>86</v>
      </c>
      <c r="AA7" s="64">
        <v>85</v>
      </c>
      <c r="AB7" s="64">
        <v>82</v>
      </c>
      <c r="AC7" s="64">
        <v>30</v>
      </c>
      <c r="AD7" s="64">
        <v>26.9</v>
      </c>
      <c r="AE7" s="64">
        <v>20</v>
      </c>
      <c r="AF7" s="64">
        <v>76.900000000000006</v>
      </c>
      <c r="AG7" s="64">
        <v>329.9</v>
      </c>
    </row>
    <row r="8" spans="1:33" ht="17.5" x14ac:dyDescent="0.25">
      <c r="A8" s="19" t="s">
        <v>275</v>
      </c>
      <c r="B8" s="64">
        <v>84</v>
      </c>
      <c r="C8" s="64">
        <v>99</v>
      </c>
      <c r="D8" s="64">
        <v>91</v>
      </c>
      <c r="E8" s="64">
        <v>37</v>
      </c>
      <c r="F8" s="64">
        <v>48</v>
      </c>
      <c r="G8" s="64">
        <v>23</v>
      </c>
      <c r="H8" s="64">
        <v>108</v>
      </c>
      <c r="I8" s="64">
        <v>382</v>
      </c>
      <c r="J8" s="64">
        <v>80</v>
      </c>
      <c r="K8" s="64">
        <v>100</v>
      </c>
      <c r="L8" s="64">
        <v>90</v>
      </c>
      <c r="M8" s="64">
        <v>47</v>
      </c>
      <c r="N8" s="64">
        <v>47.3</v>
      </c>
      <c r="O8" s="64">
        <v>23</v>
      </c>
      <c r="P8" s="64">
        <v>117.3</v>
      </c>
      <c r="Q8" s="64">
        <v>387.3</v>
      </c>
      <c r="R8" s="64">
        <v>86</v>
      </c>
      <c r="S8" s="64">
        <v>92</v>
      </c>
      <c r="T8" s="64">
        <v>88</v>
      </c>
      <c r="U8" s="64">
        <v>37</v>
      </c>
      <c r="V8" s="64">
        <v>47.9</v>
      </c>
      <c r="W8" s="64">
        <v>28</v>
      </c>
      <c r="X8" s="64">
        <v>112.9</v>
      </c>
      <c r="Y8" s="64">
        <v>378.9</v>
      </c>
      <c r="Z8" s="64"/>
      <c r="AA8" s="64"/>
      <c r="AB8" s="64"/>
      <c r="AC8" s="64"/>
      <c r="AD8" s="64"/>
      <c r="AE8" s="64"/>
      <c r="AF8" s="64"/>
      <c r="AG8" s="64"/>
    </row>
    <row r="9" spans="1:33" ht="17.5" x14ac:dyDescent="0.25">
      <c r="A9" s="19" t="s">
        <v>276</v>
      </c>
      <c r="B9" s="64">
        <v>92</v>
      </c>
      <c r="C9" s="64">
        <v>90</v>
      </c>
      <c r="D9" s="64">
        <v>92</v>
      </c>
      <c r="E9" s="64">
        <v>43</v>
      </c>
      <c r="F9" s="64">
        <v>45</v>
      </c>
      <c r="G9" s="64">
        <v>25</v>
      </c>
      <c r="H9" s="64">
        <v>113</v>
      </c>
      <c r="I9" s="64">
        <v>387</v>
      </c>
      <c r="J9" s="64">
        <v>76</v>
      </c>
      <c r="K9" s="64">
        <v>100</v>
      </c>
      <c r="L9" s="64">
        <v>88</v>
      </c>
      <c r="M9" s="64">
        <v>47</v>
      </c>
      <c r="N9" s="64">
        <v>49</v>
      </c>
      <c r="O9" s="64">
        <v>21</v>
      </c>
      <c r="P9" s="64">
        <v>117</v>
      </c>
      <c r="Q9" s="64">
        <v>381</v>
      </c>
      <c r="R9" s="64">
        <v>90</v>
      </c>
      <c r="S9" s="64">
        <v>94</v>
      </c>
      <c r="T9" s="64">
        <v>86</v>
      </c>
      <c r="U9" s="64">
        <v>43</v>
      </c>
      <c r="V9" s="64">
        <v>53.1</v>
      </c>
      <c r="W9" s="64">
        <v>28</v>
      </c>
      <c r="X9" s="64">
        <v>124.1</v>
      </c>
      <c r="Y9" s="64">
        <v>394.1</v>
      </c>
      <c r="Z9" s="64"/>
      <c r="AA9" s="64"/>
      <c r="AB9" s="64"/>
      <c r="AC9" s="64"/>
      <c r="AD9" s="64"/>
      <c r="AE9" s="64"/>
      <c r="AF9" s="64"/>
      <c r="AG9" s="64"/>
    </row>
    <row r="10" spans="1:33" ht="17.5" x14ac:dyDescent="0.25">
      <c r="A10" s="19" t="s">
        <v>277</v>
      </c>
      <c r="B10" s="64">
        <v>92</v>
      </c>
      <c r="C10" s="64">
        <v>96</v>
      </c>
      <c r="D10" s="64">
        <v>94</v>
      </c>
      <c r="E10" s="64">
        <v>43</v>
      </c>
      <c r="F10" s="64">
        <v>46</v>
      </c>
      <c r="G10" s="64">
        <v>24</v>
      </c>
      <c r="H10" s="64">
        <v>113</v>
      </c>
      <c r="I10" s="64">
        <v>395</v>
      </c>
      <c r="J10" s="64">
        <v>78</v>
      </c>
      <c r="K10" s="64">
        <v>100</v>
      </c>
      <c r="L10" s="64">
        <v>92</v>
      </c>
      <c r="M10" s="64">
        <v>39</v>
      </c>
      <c r="N10" s="64">
        <v>53.9</v>
      </c>
      <c r="O10" s="64">
        <v>18</v>
      </c>
      <c r="P10" s="64">
        <v>110.9</v>
      </c>
      <c r="Q10" s="64">
        <v>380.9</v>
      </c>
      <c r="R10" s="64">
        <v>90</v>
      </c>
      <c r="S10" s="64">
        <v>99</v>
      </c>
      <c r="T10" s="64">
        <v>84</v>
      </c>
      <c r="U10" s="64">
        <v>40</v>
      </c>
      <c r="V10" s="64">
        <v>53.1</v>
      </c>
      <c r="W10" s="64">
        <v>28</v>
      </c>
      <c r="X10" s="64">
        <v>121.1</v>
      </c>
      <c r="Y10" s="64">
        <v>394.1</v>
      </c>
      <c r="Z10" s="64"/>
      <c r="AA10" s="64"/>
      <c r="AB10" s="64"/>
      <c r="AC10" s="64"/>
      <c r="AD10" s="64"/>
      <c r="AE10" s="64"/>
      <c r="AF10" s="64"/>
      <c r="AG10" s="64"/>
    </row>
    <row r="11" spans="1:33" ht="17.5" x14ac:dyDescent="0.25">
      <c r="A11" s="19" t="s">
        <v>278</v>
      </c>
      <c r="B11" s="64">
        <v>74</v>
      </c>
      <c r="C11" s="64">
        <v>91</v>
      </c>
      <c r="D11" s="64">
        <v>64</v>
      </c>
      <c r="E11" s="64">
        <v>47</v>
      </c>
      <c r="F11" s="64">
        <v>44</v>
      </c>
      <c r="G11" s="64">
        <v>22</v>
      </c>
      <c r="H11" s="64">
        <v>113</v>
      </c>
      <c r="I11" s="64">
        <v>342</v>
      </c>
      <c r="J11" s="64">
        <v>64</v>
      </c>
      <c r="K11" s="64">
        <v>86</v>
      </c>
      <c r="L11" s="64">
        <v>76</v>
      </c>
      <c r="M11" s="64">
        <v>40</v>
      </c>
      <c r="N11" s="64">
        <v>40.1</v>
      </c>
      <c r="O11" s="64">
        <v>25</v>
      </c>
      <c r="P11" s="64">
        <v>105.1</v>
      </c>
      <c r="Q11" s="64">
        <v>331.1</v>
      </c>
      <c r="R11" s="64">
        <v>78</v>
      </c>
      <c r="S11" s="64">
        <v>91</v>
      </c>
      <c r="T11" s="64">
        <v>73</v>
      </c>
      <c r="U11" s="64">
        <v>29</v>
      </c>
      <c r="V11" s="64">
        <v>41.3</v>
      </c>
      <c r="W11" s="64">
        <v>28</v>
      </c>
      <c r="X11" s="64">
        <v>98.3</v>
      </c>
      <c r="Y11" s="64">
        <v>340.3</v>
      </c>
      <c r="Z11" s="64">
        <v>74</v>
      </c>
      <c r="AA11" s="64">
        <v>99</v>
      </c>
      <c r="AB11" s="64">
        <v>71</v>
      </c>
      <c r="AC11" s="64">
        <v>40</v>
      </c>
      <c r="AD11" s="64">
        <v>24.2</v>
      </c>
      <c r="AE11" s="64">
        <v>25</v>
      </c>
      <c r="AF11" s="64">
        <v>89.2</v>
      </c>
      <c r="AG11" s="64">
        <v>333.2</v>
      </c>
    </row>
    <row r="12" spans="1:33" ht="17.5" x14ac:dyDescent="0.25">
      <c r="A12" s="19" t="s">
        <v>279</v>
      </c>
      <c r="B12" s="64">
        <v>62</v>
      </c>
      <c r="C12" s="64">
        <v>93</v>
      </c>
      <c r="D12" s="64">
        <v>21</v>
      </c>
      <c r="E12" s="64">
        <v>31</v>
      </c>
      <c r="F12" s="64">
        <v>28</v>
      </c>
      <c r="G12" s="64">
        <v>13</v>
      </c>
      <c r="H12" s="64">
        <v>72</v>
      </c>
      <c r="I12" s="64">
        <v>248</v>
      </c>
      <c r="J12" s="64">
        <v>64</v>
      </c>
      <c r="K12" s="64">
        <v>76</v>
      </c>
      <c r="L12" s="64">
        <v>53</v>
      </c>
      <c r="M12" s="64">
        <v>16</v>
      </c>
      <c r="N12" s="64">
        <v>25.9</v>
      </c>
      <c r="O12" s="64">
        <v>15</v>
      </c>
      <c r="P12" s="64">
        <v>56.9</v>
      </c>
      <c r="Q12" s="64">
        <v>249.9</v>
      </c>
      <c r="R12" s="64">
        <v>58</v>
      </c>
      <c r="S12" s="64">
        <v>85</v>
      </c>
      <c r="T12" s="64">
        <v>43</v>
      </c>
      <c r="U12" s="64">
        <v>18</v>
      </c>
      <c r="V12" s="64">
        <v>20.3</v>
      </c>
      <c r="W12" s="64">
        <v>15</v>
      </c>
      <c r="X12" s="64">
        <v>53.3</v>
      </c>
      <c r="Y12" s="64">
        <v>239.3</v>
      </c>
      <c r="Z12" s="64">
        <v>66</v>
      </c>
      <c r="AA12" s="64">
        <v>86</v>
      </c>
      <c r="AB12" s="64">
        <v>33</v>
      </c>
      <c r="AC12" s="64">
        <v>32</v>
      </c>
      <c r="AD12" s="64">
        <v>10.8</v>
      </c>
      <c r="AE12" s="64">
        <v>18</v>
      </c>
      <c r="AF12" s="64">
        <v>60.8</v>
      </c>
      <c r="AG12" s="64">
        <v>245.8</v>
      </c>
    </row>
    <row r="13" spans="1:33" ht="17.5" x14ac:dyDescent="0.25">
      <c r="A13" s="19" t="s">
        <v>281</v>
      </c>
      <c r="B13" s="64">
        <v>74</v>
      </c>
      <c r="C13" s="64">
        <v>86</v>
      </c>
      <c r="D13" s="64">
        <v>78</v>
      </c>
      <c r="E13" s="64">
        <v>31</v>
      </c>
      <c r="F13" s="64">
        <v>35</v>
      </c>
      <c r="G13" s="64">
        <v>19</v>
      </c>
      <c r="H13" s="64">
        <v>85</v>
      </c>
      <c r="I13" s="64">
        <v>323</v>
      </c>
      <c r="J13" s="64">
        <v>66</v>
      </c>
      <c r="K13" s="64">
        <v>76</v>
      </c>
      <c r="L13" s="64">
        <v>71</v>
      </c>
      <c r="M13" s="64">
        <v>20</v>
      </c>
      <c r="N13" s="64">
        <v>36</v>
      </c>
      <c r="O13" s="64">
        <v>18</v>
      </c>
      <c r="P13" s="64">
        <v>74</v>
      </c>
      <c r="Q13" s="64">
        <v>287</v>
      </c>
      <c r="R13" s="64">
        <v>88</v>
      </c>
      <c r="S13" s="64">
        <v>83</v>
      </c>
      <c r="T13" s="64">
        <v>72</v>
      </c>
      <c r="U13" s="64">
        <v>15</v>
      </c>
      <c r="V13" s="64">
        <v>29</v>
      </c>
      <c r="W13" s="64">
        <v>20</v>
      </c>
      <c r="X13" s="64">
        <v>64</v>
      </c>
      <c r="Y13" s="64">
        <v>307</v>
      </c>
      <c r="Z13" s="64">
        <v>84</v>
      </c>
      <c r="AA13" s="64">
        <v>81</v>
      </c>
      <c r="AB13" s="64">
        <v>52</v>
      </c>
      <c r="AC13" s="64">
        <v>18</v>
      </c>
      <c r="AD13" s="64">
        <v>33.5</v>
      </c>
      <c r="AE13" s="64">
        <v>21</v>
      </c>
      <c r="AF13" s="64">
        <v>72.5</v>
      </c>
      <c r="AG13" s="64">
        <v>289.5</v>
      </c>
    </row>
    <row r="14" spans="1:33" ht="17.5" x14ac:dyDescent="0.25">
      <c r="A14" s="19" t="s">
        <v>282</v>
      </c>
      <c r="B14" s="64">
        <v>42</v>
      </c>
      <c r="C14" s="64">
        <v>76</v>
      </c>
      <c r="D14" s="64">
        <v>49</v>
      </c>
      <c r="E14" s="64">
        <v>37</v>
      </c>
      <c r="F14" s="64">
        <v>41</v>
      </c>
      <c r="G14" s="64">
        <v>20</v>
      </c>
      <c r="H14" s="64">
        <v>98</v>
      </c>
      <c r="I14" s="64">
        <v>265</v>
      </c>
      <c r="J14" s="64">
        <v>60</v>
      </c>
      <c r="K14" s="64">
        <v>92</v>
      </c>
      <c r="L14" s="64">
        <v>65</v>
      </c>
      <c r="M14" s="64">
        <v>17</v>
      </c>
      <c r="N14" s="64">
        <v>40.4</v>
      </c>
      <c r="O14" s="64">
        <v>15</v>
      </c>
      <c r="P14" s="64">
        <v>72.400000000000006</v>
      </c>
      <c r="Q14" s="64">
        <v>289.39999999999998</v>
      </c>
      <c r="R14" s="64">
        <v>64</v>
      </c>
      <c r="S14" s="64">
        <v>88</v>
      </c>
      <c r="T14" s="64">
        <v>62</v>
      </c>
      <c r="U14" s="64">
        <v>22</v>
      </c>
      <c r="V14" s="64">
        <v>35.299999999999997</v>
      </c>
      <c r="W14" s="64">
        <v>16</v>
      </c>
      <c r="X14" s="64">
        <v>73.3</v>
      </c>
      <c r="Y14" s="64">
        <v>287.3</v>
      </c>
      <c r="Z14" s="64">
        <v>70</v>
      </c>
      <c r="AA14" s="64">
        <v>80</v>
      </c>
      <c r="AB14" s="64">
        <v>64</v>
      </c>
      <c r="AC14" s="64">
        <v>15</v>
      </c>
      <c r="AD14" s="64">
        <v>33.700000000000003</v>
      </c>
      <c r="AE14" s="64">
        <v>21</v>
      </c>
      <c r="AF14" s="64">
        <v>69.7</v>
      </c>
      <c r="AG14" s="64">
        <v>283.7</v>
      </c>
    </row>
    <row r="15" spans="1:33" ht="17.5" x14ac:dyDescent="0.25">
      <c r="A15" s="19" t="s">
        <v>283</v>
      </c>
      <c r="B15" s="64">
        <v>82</v>
      </c>
      <c r="C15" s="64">
        <v>72</v>
      </c>
      <c r="D15" s="64">
        <v>81</v>
      </c>
      <c r="E15" s="64">
        <v>40</v>
      </c>
      <c r="F15" s="64">
        <v>52</v>
      </c>
      <c r="G15" s="64">
        <v>21</v>
      </c>
      <c r="H15" s="64">
        <v>113</v>
      </c>
      <c r="I15" s="64">
        <v>348</v>
      </c>
      <c r="J15" s="64">
        <v>74</v>
      </c>
      <c r="K15" s="64">
        <v>69</v>
      </c>
      <c r="L15" s="64">
        <v>79</v>
      </c>
      <c r="M15" s="64">
        <v>24</v>
      </c>
      <c r="N15" s="64">
        <v>34.6</v>
      </c>
      <c r="O15" s="64">
        <v>22</v>
      </c>
      <c r="P15" s="64">
        <v>80.599999999999994</v>
      </c>
      <c r="Q15" s="64">
        <v>302.60000000000002</v>
      </c>
      <c r="R15" s="64"/>
      <c r="S15" s="64"/>
      <c r="T15" s="64"/>
      <c r="U15" s="64"/>
      <c r="V15" s="64"/>
      <c r="W15" s="64"/>
      <c r="X15" s="64"/>
      <c r="Y15" s="64"/>
      <c r="Z15" s="64">
        <v>90</v>
      </c>
      <c r="AA15" s="64">
        <v>75</v>
      </c>
      <c r="AB15" s="64">
        <v>75</v>
      </c>
      <c r="AC15" s="64">
        <v>30</v>
      </c>
      <c r="AD15" s="64">
        <v>39.6</v>
      </c>
      <c r="AE15" s="64">
        <v>22</v>
      </c>
      <c r="AF15" s="64">
        <v>91.6</v>
      </c>
      <c r="AG15" s="64">
        <v>331.6</v>
      </c>
    </row>
    <row r="16" spans="1:33" ht="17.5" x14ac:dyDescent="0.25">
      <c r="A16" s="19" t="s">
        <v>284</v>
      </c>
      <c r="B16" s="64">
        <v>72</v>
      </c>
      <c r="C16" s="64">
        <v>87</v>
      </c>
      <c r="D16" s="64">
        <v>80</v>
      </c>
      <c r="E16" s="64">
        <v>44</v>
      </c>
      <c r="F16" s="64">
        <v>51</v>
      </c>
      <c r="G16" s="64">
        <v>23</v>
      </c>
      <c r="H16" s="64">
        <v>118</v>
      </c>
      <c r="I16" s="64">
        <v>357</v>
      </c>
      <c r="J16" s="64">
        <v>78</v>
      </c>
      <c r="K16" s="64">
        <v>100</v>
      </c>
      <c r="L16" s="64">
        <v>78</v>
      </c>
      <c r="M16" s="64">
        <v>32</v>
      </c>
      <c r="N16" s="64">
        <v>39.4</v>
      </c>
      <c r="O16" s="64">
        <v>21</v>
      </c>
      <c r="P16" s="64">
        <v>92.4</v>
      </c>
      <c r="Q16" s="64">
        <v>348.4</v>
      </c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</row>
    <row r="17" spans="1:33" ht="17.5" x14ac:dyDescent="0.25">
      <c r="A17" s="19" t="s">
        <v>285</v>
      </c>
      <c r="B17" s="64">
        <v>64</v>
      </c>
      <c r="C17" s="64">
        <v>96</v>
      </c>
      <c r="D17" s="64">
        <v>66</v>
      </c>
      <c r="E17" s="64">
        <v>27</v>
      </c>
      <c r="F17" s="64">
        <v>27</v>
      </c>
      <c r="G17" s="64">
        <v>16</v>
      </c>
      <c r="H17" s="64">
        <v>70</v>
      </c>
      <c r="I17" s="64">
        <v>296</v>
      </c>
      <c r="J17" s="64"/>
      <c r="K17" s="64"/>
      <c r="L17" s="64"/>
      <c r="M17" s="64"/>
      <c r="N17" s="64"/>
      <c r="O17" s="64"/>
      <c r="P17" s="64"/>
      <c r="Q17" s="64"/>
      <c r="R17" s="64">
        <v>54</v>
      </c>
      <c r="S17" s="64">
        <v>77</v>
      </c>
      <c r="T17" s="64">
        <v>80</v>
      </c>
      <c r="U17" s="64">
        <v>14</v>
      </c>
      <c r="V17" s="64">
        <v>16.7</v>
      </c>
      <c r="W17" s="64">
        <v>22</v>
      </c>
      <c r="X17" s="64">
        <v>52.7</v>
      </c>
      <c r="Y17" s="64">
        <v>263.7</v>
      </c>
      <c r="Z17" s="64"/>
      <c r="AA17" s="64"/>
      <c r="AB17" s="64"/>
      <c r="AC17" s="64"/>
      <c r="AD17" s="64"/>
      <c r="AE17" s="64"/>
      <c r="AF17" s="64"/>
      <c r="AG17" s="64"/>
    </row>
    <row r="18" spans="1:33" ht="17.5" x14ac:dyDescent="0.25">
      <c r="A18" s="19" t="s">
        <v>286</v>
      </c>
      <c r="B18" s="64">
        <v>66</v>
      </c>
      <c r="C18" s="64">
        <v>81</v>
      </c>
      <c r="D18" s="64">
        <v>88</v>
      </c>
      <c r="E18" s="64">
        <v>34</v>
      </c>
      <c r="F18" s="64">
        <v>30</v>
      </c>
      <c r="G18" s="64">
        <v>14</v>
      </c>
      <c r="H18" s="64">
        <v>78</v>
      </c>
      <c r="I18" s="64">
        <v>313</v>
      </c>
      <c r="J18" s="64">
        <v>58</v>
      </c>
      <c r="K18" s="64">
        <v>69</v>
      </c>
      <c r="L18" s="64">
        <v>86</v>
      </c>
      <c r="M18" s="64">
        <v>23</v>
      </c>
      <c r="N18" s="64">
        <v>29.4</v>
      </c>
      <c r="O18" s="64">
        <v>18</v>
      </c>
      <c r="P18" s="64">
        <v>70.400000000000006</v>
      </c>
      <c r="Q18" s="64">
        <v>283.39999999999998</v>
      </c>
      <c r="R18" s="64"/>
      <c r="S18" s="64"/>
      <c r="T18" s="64"/>
      <c r="U18" s="64"/>
      <c r="V18" s="64"/>
      <c r="W18" s="64"/>
      <c r="X18" s="64"/>
      <c r="Y18" s="64"/>
      <c r="Z18" s="64">
        <v>88</v>
      </c>
      <c r="AA18" s="64">
        <v>71</v>
      </c>
      <c r="AB18" s="64">
        <v>83</v>
      </c>
      <c r="AC18" s="64">
        <v>21</v>
      </c>
      <c r="AD18" s="64">
        <v>35.4</v>
      </c>
      <c r="AE18" s="64">
        <v>17</v>
      </c>
      <c r="AF18" s="64">
        <v>73.400000000000006</v>
      </c>
      <c r="AG18" s="64">
        <v>315.39999999999998</v>
      </c>
    </row>
    <row r="19" spans="1:33" ht="17.5" x14ac:dyDescent="0.25">
      <c r="A19" s="19" t="s">
        <v>287</v>
      </c>
      <c r="B19" s="64">
        <v>64</v>
      </c>
      <c r="C19" s="64">
        <v>96</v>
      </c>
      <c r="D19" s="64">
        <v>76</v>
      </c>
      <c r="E19" s="64">
        <v>32</v>
      </c>
      <c r="F19" s="64">
        <v>33</v>
      </c>
      <c r="G19" s="64">
        <v>19</v>
      </c>
      <c r="H19" s="64">
        <v>84</v>
      </c>
      <c r="I19" s="64">
        <v>320</v>
      </c>
      <c r="J19" s="64"/>
      <c r="K19" s="64"/>
      <c r="L19" s="64"/>
      <c r="M19" s="64"/>
      <c r="N19" s="64"/>
      <c r="O19" s="64"/>
      <c r="P19" s="64"/>
      <c r="Q19" s="64"/>
      <c r="R19" s="64">
        <v>68</v>
      </c>
      <c r="S19" s="64">
        <v>81</v>
      </c>
      <c r="T19" s="64">
        <v>58</v>
      </c>
      <c r="U19" s="64">
        <v>17</v>
      </c>
      <c r="V19" s="64">
        <v>26.1</v>
      </c>
      <c r="W19" s="64">
        <v>20</v>
      </c>
      <c r="X19" s="64">
        <v>63.1</v>
      </c>
      <c r="Y19" s="64">
        <v>270.10000000000002</v>
      </c>
      <c r="Z19" s="64">
        <v>80</v>
      </c>
      <c r="AA19" s="64">
        <v>91</v>
      </c>
      <c r="AB19" s="64">
        <v>51</v>
      </c>
      <c r="AC19" s="64">
        <v>33</v>
      </c>
      <c r="AD19" s="64">
        <v>31.8</v>
      </c>
      <c r="AE19" s="64">
        <v>23</v>
      </c>
      <c r="AF19" s="64">
        <v>87.8</v>
      </c>
      <c r="AG19" s="64">
        <v>309.8</v>
      </c>
    </row>
    <row r="20" spans="1:33" ht="17.5" x14ac:dyDescent="0.25">
      <c r="A20" s="19" t="s">
        <v>288</v>
      </c>
      <c r="B20" s="64">
        <v>76</v>
      </c>
      <c r="C20" s="64">
        <v>92</v>
      </c>
      <c r="D20" s="64">
        <v>52</v>
      </c>
      <c r="E20" s="64">
        <v>41</v>
      </c>
      <c r="F20" s="64">
        <v>37</v>
      </c>
      <c r="G20" s="64">
        <v>23</v>
      </c>
      <c r="H20" s="64">
        <v>101</v>
      </c>
      <c r="I20" s="64">
        <v>321</v>
      </c>
      <c r="J20" s="64">
        <v>78</v>
      </c>
      <c r="K20" s="64">
        <v>69</v>
      </c>
      <c r="L20" s="64">
        <v>52</v>
      </c>
      <c r="M20" s="64">
        <v>26</v>
      </c>
      <c r="N20" s="64">
        <v>48</v>
      </c>
      <c r="O20" s="64">
        <v>22</v>
      </c>
      <c r="P20" s="64">
        <v>96</v>
      </c>
      <c r="Q20" s="64">
        <v>295</v>
      </c>
      <c r="R20" s="64"/>
      <c r="S20" s="64"/>
      <c r="T20" s="64"/>
      <c r="U20" s="64"/>
      <c r="V20" s="64"/>
      <c r="W20" s="64"/>
      <c r="X20" s="64"/>
      <c r="Y20" s="64"/>
      <c r="Z20" s="64">
        <v>84</v>
      </c>
      <c r="AA20" s="64">
        <v>83</v>
      </c>
      <c r="AB20" s="64">
        <v>60</v>
      </c>
      <c r="AC20" s="64">
        <v>33</v>
      </c>
      <c r="AD20" s="64">
        <v>38.1</v>
      </c>
      <c r="AE20" s="64">
        <v>21</v>
      </c>
      <c r="AF20" s="64">
        <v>92.1</v>
      </c>
      <c r="AG20" s="64">
        <v>319.10000000000002</v>
      </c>
    </row>
    <row r="21" spans="1:33" ht="17.5" x14ac:dyDescent="0.25">
      <c r="A21" s="19" t="s">
        <v>289</v>
      </c>
      <c r="B21" s="64">
        <v>84</v>
      </c>
      <c r="C21" s="64">
        <v>92</v>
      </c>
      <c r="D21" s="64">
        <v>60</v>
      </c>
      <c r="E21" s="64">
        <v>40</v>
      </c>
      <c r="F21" s="64">
        <v>46</v>
      </c>
      <c r="G21" s="64">
        <v>21</v>
      </c>
      <c r="H21" s="64">
        <v>107</v>
      </c>
      <c r="I21" s="64">
        <v>343</v>
      </c>
      <c r="J21" s="64">
        <v>76</v>
      </c>
      <c r="K21" s="64">
        <v>89</v>
      </c>
      <c r="L21" s="64">
        <v>56</v>
      </c>
      <c r="M21" s="64">
        <v>41</v>
      </c>
      <c r="N21" s="64">
        <v>47.1</v>
      </c>
      <c r="O21" s="64">
        <v>18</v>
      </c>
      <c r="P21" s="64">
        <v>106.1</v>
      </c>
      <c r="Q21" s="64">
        <v>327.10000000000002</v>
      </c>
      <c r="R21" s="64">
        <v>84</v>
      </c>
      <c r="S21" s="64">
        <v>85</v>
      </c>
      <c r="T21" s="64">
        <v>69</v>
      </c>
      <c r="U21" s="64">
        <v>27</v>
      </c>
      <c r="V21" s="64">
        <v>47.3</v>
      </c>
      <c r="W21" s="64">
        <v>18</v>
      </c>
      <c r="X21" s="64">
        <v>92.3</v>
      </c>
      <c r="Y21" s="64">
        <v>330.3</v>
      </c>
      <c r="Z21" s="64">
        <v>82</v>
      </c>
      <c r="AA21" s="64">
        <v>87</v>
      </c>
      <c r="AB21" s="64">
        <v>58</v>
      </c>
      <c r="AC21" s="64">
        <v>31</v>
      </c>
      <c r="AD21" s="64">
        <v>43</v>
      </c>
      <c r="AE21" s="64">
        <v>21</v>
      </c>
      <c r="AF21" s="64">
        <v>95</v>
      </c>
      <c r="AG21" s="64">
        <v>322</v>
      </c>
    </row>
    <row r="22" spans="1:33" ht="17.5" x14ac:dyDescent="0.25">
      <c r="A22" s="19" t="s">
        <v>290</v>
      </c>
      <c r="B22" s="64">
        <v>80</v>
      </c>
      <c r="C22" s="64">
        <v>97</v>
      </c>
      <c r="D22" s="64">
        <v>79</v>
      </c>
      <c r="E22" s="64">
        <v>37</v>
      </c>
      <c r="F22" s="64">
        <v>44</v>
      </c>
      <c r="G22" s="64">
        <v>22</v>
      </c>
      <c r="H22" s="64">
        <v>103</v>
      </c>
      <c r="I22" s="64">
        <v>359</v>
      </c>
      <c r="J22" s="64">
        <v>66</v>
      </c>
      <c r="K22" s="64">
        <v>95</v>
      </c>
      <c r="L22" s="64">
        <v>87</v>
      </c>
      <c r="M22" s="64">
        <v>33</v>
      </c>
      <c r="N22" s="64">
        <v>43.8</v>
      </c>
      <c r="O22" s="64">
        <v>22</v>
      </c>
      <c r="P22" s="64">
        <v>98.8</v>
      </c>
      <c r="Q22" s="64">
        <v>346.8</v>
      </c>
      <c r="R22" s="64">
        <v>78</v>
      </c>
      <c r="S22" s="64">
        <v>91</v>
      </c>
      <c r="T22" s="64">
        <v>94</v>
      </c>
      <c r="U22" s="64">
        <v>23</v>
      </c>
      <c r="V22" s="64">
        <v>36.9</v>
      </c>
      <c r="W22" s="64">
        <v>23</v>
      </c>
      <c r="X22" s="64">
        <v>82.9</v>
      </c>
      <c r="Y22" s="64">
        <v>345.9</v>
      </c>
      <c r="Z22" s="64">
        <v>90</v>
      </c>
      <c r="AA22" s="64">
        <v>91</v>
      </c>
      <c r="AB22" s="64">
        <v>84</v>
      </c>
      <c r="AC22" s="64">
        <v>33</v>
      </c>
      <c r="AD22" s="64">
        <v>40.1</v>
      </c>
      <c r="AE22" s="64">
        <v>24</v>
      </c>
      <c r="AF22" s="64">
        <v>97.1</v>
      </c>
      <c r="AG22" s="64">
        <v>362.1</v>
      </c>
    </row>
    <row r="23" spans="1:33" ht="17.5" x14ac:dyDescent="0.25">
      <c r="A23" s="19" t="s">
        <v>291</v>
      </c>
      <c r="B23" s="64">
        <v>68</v>
      </c>
      <c r="C23" s="64">
        <v>97</v>
      </c>
      <c r="D23" s="64">
        <v>77</v>
      </c>
      <c r="E23" s="64">
        <v>35</v>
      </c>
      <c r="F23" s="64">
        <v>42</v>
      </c>
      <c r="G23" s="64">
        <v>19</v>
      </c>
      <c r="H23" s="64">
        <v>96</v>
      </c>
      <c r="I23" s="64">
        <v>338</v>
      </c>
      <c r="J23" s="64"/>
      <c r="K23" s="64"/>
      <c r="L23" s="64"/>
      <c r="M23" s="64"/>
      <c r="N23" s="64"/>
      <c r="O23" s="64"/>
      <c r="P23" s="64"/>
      <c r="Q23" s="64"/>
      <c r="R23" s="64">
        <v>0</v>
      </c>
      <c r="S23" s="64">
        <v>84</v>
      </c>
      <c r="T23" s="64">
        <v>61</v>
      </c>
      <c r="U23" s="64">
        <v>24</v>
      </c>
      <c r="V23" s="64">
        <v>43.7</v>
      </c>
      <c r="W23" s="64">
        <v>26</v>
      </c>
      <c r="X23" s="64">
        <v>93.7</v>
      </c>
      <c r="Y23" s="64">
        <v>238.7</v>
      </c>
      <c r="Z23" s="64">
        <v>78</v>
      </c>
      <c r="AA23" s="64">
        <v>88</v>
      </c>
      <c r="AB23" s="64">
        <v>76</v>
      </c>
      <c r="AC23" s="64">
        <v>30</v>
      </c>
      <c r="AD23" s="64">
        <v>38.9</v>
      </c>
      <c r="AE23" s="64">
        <v>21</v>
      </c>
      <c r="AF23" s="64">
        <v>89.9</v>
      </c>
      <c r="AG23" s="64">
        <v>331.9</v>
      </c>
    </row>
    <row r="24" spans="1:33" ht="17.5" x14ac:dyDescent="0.25">
      <c r="A24" s="19" t="s">
        <v>292</v>
      </c>
      <c r="B24" s="64">
        <v>76</v>
      </c>
      <c r="C24" s="64">
        <v>99</v>
      </c>
      <c r="D24" s="64">
        <v>90</v>
      </c>
      <c r="E24" s="64">
        <v>36</v>
      </c>
      <c r="F24" s="64">
        <v>45</v>
      </c>
      <c r="G24" s="64">
        <v>15</v>
      </c>
      <c r="H24" s="64">
        <v>96</v>
      </c>
      <c r="I24" s="64">
        <v>361</v>
      </c>
      <c r="J24" s="64">
        <v>66</v>
      </c>
      <c r="K24" s="64">
        <v>97</v>
      </c>
      <c r="L24" s="64">
        <v>88</v>
      </c>
      <c r="M24" s="64">
        <v>30</v>
      </c>
      <c r="N24" s="64">
        <v>39.6</v>
      </c>
      <c r="O24" s="64">
        <v>16</v>
      </c>
      <c r="P24" s="64">
        <v>85.6</v>
      </c>
      <c r="Q24" s="64">
        <v>336.6</v>
      </c>
      <c r="R24" s="64">
        <v>80</v>
      </c>
      <c r="S24" s="64">
        <v>86</v>
      </c>
      <c r="T24" s="64">
        <v>74</v>
      </c>
      <c r="U24" s="64">
        <v>34</v>
      </c>
      <c r="V24" s="64">
        <v>44.1</v>
      </c>
      <c r="W24" s="64">
        <v>22</v>
      </c>
      <c r="X24" s="64">
        <v>100.1</v>
      </c>
      <c r="Y24" s="64">
        <v>340.1</v>
      </c>
      <c r="Z24" s="64">
        <v>74</v>
      </c>
      <c r="AA24" s="64">
        <v>90</v>
      </c>
      <c r="AB24" s="64">
        <v>73</v>
      </c>
      <c r="AC24" s="64">
        <v>27</v>
      </c>
      <c r="AD24" s="64">
        <v>33.700000000000003</v>
      </c>
      <c r="AE24" s="64">
        <v>22</v>
      </c>
      <c r="AF24" s="64">
        <v>82.7</v>
      </c>
      <c r="AG24" s="64">
        <v>319.7</v>
      </c>
    </row>
    <row r="25" spans="1:33" ht="17.5" x14ac:dyDescent="0.25">
      <c r="A25" s="19" t="s">
        <v>293</v>
      </c>
      <c r="B25" s="64">
        <v>78</v>
      </c>
      <c r="C25" s="64">
        <v>98</v>
      </c>
      <c r="D25" s="64">
        <v>90</v>
      </c>
      <c r="E25" s="64">
        <v>36</v>
      </c>
      <c r="F25" s="64">
        <v>46</v>
      </c>
      <c r="G25" s="64">
        <v>16</v>
      </c>
      <c r="H25" s="64">
        <v>98</v>
      </c>
      <c r="I25" s="64">
        <v>364</v>
      </c>
      <c r="J25" s="64">
        <v>64</v>
      </c>
      <c r="K25" s="64">
        <v>94</v>
      </c>
      <c r="L25" s="64">
        <v>85</v>
      </c>
      <c r="M25" s="64">
        <v>34</v>
      </c>
      <c r="N25" s="64">
        <v>26.1</v>
      </c>
      <c r="O25" s="64">
        <v>22</v>
      </c>
      <c r="P25" s="64">
        <v>82.1</v>
      </c>
      <c r="Q25" s="64">
        <v>325.10000000000002</v>
      </c>
      <c r="R25" s="64">
        <v>78</v>
      </c>
      <c r="S25" s="64">
        <v>83</v>
      </c>
      <c r="T25" s="64">
        <v>70</v>
      </c>
      <c r="U25" s="64">
        <v>31</v>
      </c>
      <c r="V25" s="64">
        <v>44</v>
      </c>
      <c r="W25" s="64">
        <v>20</v>
      </c>
      <c r="X25" s="64">
        <v>95</v>
      </c>
      <c r="Y25" s="64">
        <v>326</v>
      </c>
      <c r="Z25" s="64">
        <v>78</v>
      </c>
      <c r="AA25" s="64">
        <v>92</v>
      </c>
      <c r="AB25" s="64">
        <v>72</v>
      </c>
      <c r="AC25" s="64">
        <v>22</v>
      </c>
      <c r="AD25" s="64">
        <v>29.3</v>
      </c>
      <c r="AE25" s="64">
        <v>24</v>
      </c>
      <c r="AF25" s="64">
        <v>75.3</v>
      </c>
      <c r="AG25" s="64">
        <v>317.3</v>
      </c>
    </row>
    <row r="26" spans="1:33" ht="17.5" x14ac:dyDescent="0.25">
      <c r="A26" s="19" t="s">
        <v>294</v>
      </c>
      <c r="B26" s="64">
        <v>76</v>
      </c>
      <c r="C26" s="64">
        <v>78</v>
      </c>
      <c r="D26" s="64">
        <v>60</v>
      </c>
      <c r="E26" s="64">
        <v>40</v>
      </c>
      <c r="F26" s="64">
        <v>41</v>
      </c>
      <c r="G26" s="64">
        <v>26</v>
      </c>
      <c r="H26" s="64">
        <v>107</v>
      </c>
      <c r="I26" s="64">
        <v>321</v>
      </c>
      <c r="J26" s="64">
        <v>72</v>
      </c>
      <c r="K26" s="64">
        <v>79</v>
      </c>
      <c r="L26" s="64">
        <v>66</v>
      </c>
      <c r="M26" s="64">
        <v>30</v>
      </c>
      <c r="N26" s="64">
        <v>46.5</v>
      </c>
      <c r="O26" s="64">
        <v>24</v>
      </c>
      <c r="P26" s="64">
        <v>100.5</v>
      </c>
      <c r="Q26" s="64">
        <v>317.5</v>
      </c>
      <c r="R26" s="64">
        <v>80</v>
      </c>
      <c r="S26" s="64">
        <v>76</v>
      </c>
      <c r="T26" s="64">
        <v>61</v>
      </c>
      <c r="U26" s="64">
        <v>28</v>
      </c>
      <c r="V26" s="64">
        <v>32.700000000000003</v>
      </c>
      <c r="W26" s="64">
        <v>23</v>
      </c>
      <c r="X26" s="64">
        <v>83.7</v>
      </c>
      <c r="Y26" s="64">
        <v>300.7</v>
      </c>
      <c r="Z26" s="64"/>
      <c r="AA26" s="64"/>
      <c r="AB26" s="64"/>
      <c r="AC26" s="64"/>
      <c r="AD26" s="64"/>
      <c r="AE26" s="64"/>
      <c r="AF26" s="64"/>
      <c r="AG26" s="64"/>
    </row>
    <row r="27" spans="1:33" ht="17.5" x14ac:dyDescent="0.25">
      <c r="A27" s="19" t="s">
        <v>295</v>
      </c>
      <c r="B27" s="64">
        <v>72</v>
      </c>
      <c r="C27" s="64">
        <v>69</v>
      </c>
      <c r="D27" s="64">
        <v>94</v>
      </c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>
        <v>60</v>
      </c>
      <c r="AA27" s="64">
        <v>81</v>
      </c>
      <c r="AB27" s="64">
        <v>76</v>
      </c>
      <c r="AC27" s="64">
        <v>32</v>
      </c>
      <c r="AD27" s="64">
        <v>35.299999999999997</v>
      </c>
      <c r="AE27" s="64">
        <v>16</v>
      </c>
      <c r="AF27" s="64">
        <v>83.3</v>
      </c>
      <c r="AG27" s="64">
        <v>300.3</v>
      </c>
    </row>
    <row r="28" spans="1:33" ht="17.5" x14ac:dyDescent="0.25">
      <c r="A28" s="19" t="s">
        <v>296</v>
      </c>
      <c r="B28" s="64">
        <v>92</v>
      </c>
      <c r="C28" s="64">
        <v>97</v>
      </c>
      <c r="D28" s="64">
        <v>98</v>
      </c>
      <c r="E28" s="64">
        <v>42</v>
      </c>
      <c r="F28" s="64">
        <v>49</v>
      </c>
      <c r="G28" s="64">
        <v>25</v>
      </c>
      <c r="H28" s="64">
        <v>116</v>
      </c>
      <c r="I28" s="64">
        <v>403</v>
      </c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</row>
    <row r="29" spans="1:33" ht="17.5" x14ac:dyDescent="0.25">
      <c r="A29" s="19" t="s">
        <v>297</v>
      </c>
      <c r="B29" s="64">
        <v>90</v>
      </c>
      <c r="C29" s="64">
        <v>97</v>
      </c>
      <c r="D29" s="64">
        <v>78</v>
      </c>
      <c r="E29" s="64">
        <v>47</v>
      </c>
      <c r="F29" s="64">
        <v>44</v>
      </c>
      <c r="G29" s="64">
        <v>21</v>
      </c>
      <c r="H29" s="64">
        <v>112</v>
      </c>
      <c r="I29" s="64">
        <v>377</v>
      </c>
      <c r="J29" s="64">
        <v>56</v>
      </c>
      <c r="K29" s="64">
        <v>58</v>
      </c>
      <c r="L29" s="64">
        <v>86</v>
      </c>
      <c r="M29" s="64">
        <v>31</v>
      </c>
      <c r="N29" s="64">
        <v>42.1</v>
      </c>
      <c r="O29" s="64">
        <v>18</v>
      </c>
      <c r="P29" s="64">
        <v>91.1</v>
      </c>
      <c r="Q29" s="64">
        <v>291.10000000000002</v>
      </c>
      <c r="R29" s="64">
        <v>80</v>
      </c>
      <c r="S29" s="64">
        <v>76</v>
      </c>
      <c r="T29" s="64">
        <v>85</v>
      </c>
      <c r="U29" s="64">
        <v>25</v>
      </c>
      <c r="V29" s="64">
        <v>46.2</v>
      </c>
      <c r="W29" s="64">
        <v>24</v>
      </c>
      <c r="X29" s="64">
        <v>95.2</v>
      </c>
      <c r="Y29" s="64">
        <v>336.2</v>
      </c>
      <c r="Z29" s="64">
        <v>84</v>
      </c>
      <c r="AA29" s="64">
        <v>89</v>
      </c>
      <c r="AB29" s="64">
        <v>83</v>
      </c>
      <c r="AC29" s="64">
        <v>37</v>
      </c>
      <c r="AD29" s="64">
        <v>49</v>
      </c>
      <c r="AE29" s="64">
        <v>22</v>
      </c>
      <c r="AF29" s="64">
        <v>108</v>
      </c>
      <c r="AG29" s="64">
        <v>364</v>
      </c>
    </row>
    <row r="30" spans="1:33" ht="17.5" x14ac:dyDescent="0.25">
      <c r="A30" s="19" t="s">
        <v>298</v>
      </c>
      <c r="B30" s="64">
        <v>86</v>
      </c>
      <c r="C30" s="64">
        <v>100</v>
      </c>
      <c r="D30" s="64">
        <v>80</v>
      </c>
      <c r="E30" s="64">
        <v>51</v>
      </c>
      <c r="F30" s="64">
        <v>44</v>
      </c>
      <c r="G30" s="64">
        <v>24</v>
      </c>
      <c r="H30" s="64">
        <v>119</v>
      </c>
      <c r="I30" s="64">
        <v>385</v>
      </c>
      <c r="J30" s="64">
        <v>84</v>
      </c>
      <c r="K30" s="64">
        <v>83</v>
      </c>
      <c r="L30" s="64">
        <v>82</v>
      </c>
      <c r="M30" s="64">
        <v>44</v>
      </c>
      <c r="N30" s="64">
        <v>47.2</v>
      </c>
      <c r="O30" s="64">
        <v>20</v>
      </c>
      <c r="P30" s="64">
        <v>111.2</v>
      </c>
      <c r="Q30" s="64">
        <v>360.2</v>
      </c>
      <c r="R30" s="64">
        <v>90</v>
      </c>
      <c r="S30" s="64">
        <v>81</v>
      </c>
      <c r="T30" s="64">
        <v>71</v>
      </c>
      <c r="U30" s="64">
        <v>46</v>
      </c>
      <c r="V30" s="64">
        <v>51.2</v>
      </c>
      <c r="W30" s="64">
        <v>26</v>
      </c>
      <c r="X30" s="64">
        <v>123.2</v>
      </c>
      <c r="Y30" s="64">
        <v>365.2</v>
      </c>
      <c r="Z30" s="64">
        <v>94</v>
      </c>
      <c r="AA30" s="64">
        <v>95</v>
      </c>
      <c r="AB30" s="64">
        <v>79</v>
      </c>
      <c r="AC30" s="64">
        <v>53</v>
      </c>
      <c r="AD30" s="64">
        <v>50.4</v>
      </c>
      <c r="AE30" s="64">
        <v>27</v>
      </c>
      <c r="AF30" s="64">
        <v>130.4</v>
      </c>
      <c r="AG30" s="64">
        <v>398.4</v>
      </c>
    </row>
    <row r="31" spans="1:33" ht="17.5" x14ac:dyDescent="0.25">
      <c r="A31" s="19" t="s">
        <v>299</v>
      </c>
      <c r="B31" s="64">
        <v>76</v>
      </c>
      <c r="C31" s="64">
        <v>88</v>
      </c>
      <c r="D31" s="64">
        <v>75</v>
      </c>
      <c r="E31" s="64">
        <v>42</v>
      </c>
      <c r="F31" s="64">
        <v>48</v>
      </c>
      <c r="G31" s="64">
        <v>26</v>
      </c>
      <c r="H31" s="64">
        <v>116</v>
      </c>
      <c r="I31" s="64">
        <v>355</v>
      </c>
      <c r="J31" s="64">
        <v>66</v>
      </c>
      <c r="K31" s="64">
        <v>79</v>
      </c>
      <c r="L31" s="64">
        <v>90</v>
      </c>
      <c r="M31" s="64">
        <v>44</v>
      </c>
      <c r="N31" s="64">
        <v>40.4</v>
      </c>
      <c r="O31" s="64">
        <v>23</v>
      </c>
      <c r="P31" s="64">
        <v>107.4</v>
      </c>
      <c r="Q31" s="64">
        <v>342.4</v>
      </c>
      <c r="R31" s="64">
        <v>84</v>
      </c>
      <c r="S31" s="64">
        <v>83</v>
      </c>
      <c r="T31" s="64">
        <v>82</v>
      </c>
      <c r="U31" s="64">
        <v>32</v>
      </c>
      <c r="V31" s="64">
        <v>46.1</v>
      </c>
      <c r="W31" s="64">
        <v>25</v>
      </c>
      <c r="X31" s="64">
        <v>103.1</v>
      </c>
      <c r="Y31" s="64">
        <v>352.1</v>
      </c>
      <c r="Z31" s="64">
        <v>80</v>
      </c>
      <c r="AA31" s="64">
        <v>74</v>
      </c>
      <c r="AB31" s="64">
        <v>85</v>
      </c>
      <c r="AC31" s="64">
        <v>43</v>
      </c>
      <c r="AD31" s="64">
        <v>40.4</v>
      </c>
      <c r="AE31" s="64">
        <v>20</v>
      </c>
      <c r="AF31" s="64">
        <v>103.4</v>
      </c>
      <c r="AG31" s="64">
        <v>342.4</v>
      </c>
    </row>
    <row r="32" spans="1:33" ht="17.5" x14ac:dyDescent="0.25">
      <c r="A32" s="19" t="s">
        <v>300</v>
      </c>
      <c r="B32" s="64">
        <v>72</v>
      </c>
      <c r="C32" s="64">
        <v>82</v>
      </c>
      <c r="D32" s="64">
        <v>75</v>
      </c>
      <c r="E32" s="64">
        <v>36</v>
      </c>
      <c r="F32" s="64">
        <v>36</v>
      </c>
      <c r="G32" s="64">
        <v>23</v>
      </c>
      <c r="H32" s="64">
        <v>95</v>
      </c>
      <c r="I32" s="64">
        <v>324</v>
      </c>
      <c r="J32" s="64">
        <v>68</v>
      </c>
      <c r="K32" s="64">
        <v>70</v>
      </c>
      <c r="L32" s="64">
        <v>59</v>
      </c>
      <c r="M32" s="64">
        <v>23</v>
      </c>
      <c r="N32" s="64">
        <v>37</v>
      </c>
      <c r="O32" s="64">
        <v>22</v>
      </c>
      <c r="P32" s="64">
        <v>82</v>
      </c>
      <c r="Q32" s="64">
        <v>279</v>
      </c>
      <c r="R32" s="64">
        <v>88</v>
      </c>
      <c r="S32" s="64">
        <v>71</v>
      </c>
      <c r="T32" s="64">
        <v>58</v>
      </c>
      <c r="U32" s="64">
        <v>22</v>
      </c>
      <c r="V32" s="64">
        <v>38</v>
      </c>
      <c r="W32" s="64">
        <v>20</v>
      </c>
      <c r="X32" s="64">
        <v>80</v>
      </c>
      <c r="Y32" s="64">
        <v>297</v>
      </c>
      <c r="Z32" s="64">
        <v>90</v>
      </c>
      <c r="AA32" s="64">
        <v>70</v>
      </c>
      <c r="AB32" s="64">
        <v>54</v>
      </c>
      <c r="AC32" s="64">
        <v>21</v>
      </c>
      <c r="AD32" s="64">
        <v>35.5</v>
      </c>
      <c r="AE32" s="64">
        <v>20</v>
      </c>
      <c r="AF32" s="64">
        <v>76.5</v>
      </c>
      <c r="AG32" s="64">
        <v>290.5</v>
      </c>
    </row>
    <row r="33" spans="1:33" ht="17.5" x14ac:dyDescent="0.25">
      <c r="A33" s="19" t="s">
        <v>301</v>
      </c>
      <c r="B33" s="64">
        <v>78</v>
      </c>
      <c r="C33" s="64">
        <v>68</v>
      </c>
      <c r="D33" s="64">
        <v>78</v>
      </c>
      <c r="E33" s="64">
        <v>29</v>
      </c>
      <c r="F33" s="64">
        <v>35</v>
      </c>
      <c r="G33" s="64">
        <v>23</v>
      </c>
      <c r="H33" s="64">
        <v>87</v>
      </c>
      <c r="I33" s="64">
        <v>311</v>
      </c>
      <c r="J33" s="64">
        <v>64</v>
      </c>
      <c r="K33" s="64">
        <v>72</v>
      </c>
      <c r="L33" s="64">
        <v>58</v>
      </c>
      <c r="M33" s="64">
        <v>16</v>
      </c>
      <c r="N33" s="64">
        <v>31.8</v>
      </c>
      <c r="O33" s="64">
        <v>19</v>
      </c>
      <c r="P33" s="64">
        <v>66.8</v>
      </c>
      <c r="Q33" s="64">
        <v>260.8</v>
      </c>
      <c r="R33" s="64">
        <v>82</v>
      </c>
      <c r="S33" s="64">
        <v>87</v>
      </c>
      <c r="T33" s="64">
        <v>58</v>
      </c>
      <c r="U33" s="64">
        <v>22</v>
      </c>
      <c r="V33" s="64">
        <v>33.4</v>
      </c>
      <c r="W33" s="64">
        <v>21</v>
      </c>
      <c r="X33" s="64">
        <v>76.400000000000006</v>
      </c>
      <c r="Y33" s="64">
        <v>303.39999999999998</v>
      </c>
      <c r="Z33" s="64">
        <v>86</v>
      </c>
      <c r="AA33" s="64">
        <v>87</v>
      </c>
      <c r="AB33" s="64">
        <v>59</v>
      </c>
      <c r="AC33" s="64">
        <v>22</v>
      </c>
      <c r="AD33" s="64">
        <v>27.6</v>
      </c>
      <c r="AE33" s="64">
        <v>23</v>
      </c>
      <c r="AF33" s="64">
        <v>72.599999999999994</v>
      </c>
      <c r="AG33" s="64">
        <v>304.60000000000002</v>
      </c>
    </row>
    <row r="34" spans="1:33" ht="17.5" x14ac:dyDescent="0.25">
      <c r="A34" s="19" t="s">
        <v>302</v>
      </c>
      <c r="B34" s="64">
        <v>90</v>
      </c>
      <c r="C34" s="64">
        <v>66</v>
      </c>
      <c r="D34" s="64">
        <v>78</v>
      </c>
      <c r="E34" s="64">
        <v>33</v>
      </c>
      <c r="F34" s="64">
        <v>40</v>
      </c>
      <c r="G34" s="64">
        <v>22</v>
      </c>
      <c r="H34" s="64">
        <v>95</v>
      </c>
      <c r="I34" s="64">
        <v>329</v>
      </c>
      <c r="J34" s="64">
        <v>74</v>
      </c>
      <c r="K34" s="64">
        <v>81</v>
      </c>
      <c r="L34" s="64">
        <v>65</v>
      </c>
      <c r="M34" s="64">
        <v>24</v>
      </c>
      <c r="N34" s="64">
        <v>47.4</v>
      </c>
      <c r="O34" s="64">
        <v>24</v>
      </c>
      <c r="P34" s="64">
        <v>95.4</v>
      </c>
      <c r="Q34" s="64">
        <v>315.39999999999998</v>
      </c>
      <c r="R34" s="64">
        <v>82</v>
      </c>
      <c r="S34" s="64">
        <v>69</v>
      </c>
      <c r="T34" s="64">
        <v>65</v>
      </c>
      <c r="U34" s="64">
        <v>21</v>
      </c>
      <c r="V34" s="64">
        <v>43.9</v>
      </c>
      <c r="W34" s="64">
        <v>22</v>
      </c>
      <c r="X34" s="64">
        <v>86.9</v>
      </c>
      <c r="Y34" s="64">
        <v>302.89999999999998</v>
      </c>
      <c r="Z34" s="64"/>
      <c r="AA34" s="64"/>
      <c r="AB34" s="64"/>
      <c r="AC34" s="64"/>
      <c r="AD34" s="64"/>
      <c r="AE34" s="64"/>
      <c r="AF34" s="64"/>
      <c r="AG34" s="64"/>
    </row>
    <row r="35" spans="1:33" ht="17.5" x14ac:dyDescent="0.25">
      <c r="A35" s="19" t="s">
        <v>303</v>
      </c>
      <c r="B35" s="64">
        <v>76</v>
      </c>
      <c r="C35" s="64">
        <v>94</v>
      </c>
      <c r="D35" s="64">
        <v>84</v>
      </c>
      <c r="E35" s="64">
        <v>43</v>
      </c>
      <c r="F35" s="64">
        <v>56</v>
      </c>
      <c r="G35" s="64">
        <v>24</v>
      </c>
      <c r="H35" s="64">
        <v>123</v>
      </c>
      <c r="I35" s="64">
        <v>377</v>
      </c>
      <c r="J35" s="64"/>
      <c r="K35" s="64"/>
      <c r="L35" s="64"/>
      <c r="M35" s="64"/>
      <c r="N35" s="64"/>
      <c r="O35" s="64"/>
      <c r="P35" s="64"/>
      <c r="Q35" s="64"/>
      <c r="R35" s="64">
        <v>60</v>
      </c>
      <c r="S35" s="64">
        <v>69</v>
      </c>
      <c r="T35" s="64">
        <v>78</v>
      </c>
      <c r="U35" s="64">
        <v>23</v>
      </c>
      <c r="V35" s="64">
        <v>30</v>
      </c>
      <c r="W35" s="64">
        <v>24</v>
      </c>
      <c r="X35" s="64">
        <v>77</v>
      </c>
      <c r="Y35" s="64">
        <v>284</v>
      </c>
      <c r="Z35" s="64"/>
      <c r="AA35" s="64"/>
      <c r="AB35" s="64"/>
      <c r="AC35" s="64"/>
      <c r="AD35" s="64"/>
      <c r="AE35" s="64"/>
      <c r="AF35" s="64"/>
      <c r="AG35" s="64"/>
    </row>
    <row r="36" spans="1:33" ht="17.5" x14ac:dyDescent="0.25">
      <c r="A36" s="19" t="s">
        <v>304</v>
      </c>
      <c r="B36" s="64">
        <v>84</v>
      </c>
      <c r="C36" s="64">
        <v>94</v>
      </c>
      <c r="D36" s="64">
        <v>68</v>
      </c>
      <c r="E36" s="64">
        <v>44</v>
      </c>
      <c r="F36" s="64">
        <v>55</v>
      </c>
      <c r="G36" s="64">
        <v>22</v>
      </c>
      <c r="H36" s="64">
        <v>121</v>
      </c>
      <c r="I36" s="64">
        <v>367</v>
      </c>
      <c r="J36" s="64"/>
      <c r="K36" s="64"/>
      <c r="L36" s="64"/>
      <c r="M36" s="64"/>
      <c r="N36" s="64"/>
      <c r="O36" s="64"/>
      <c r="P36" s="64"/>
      <c r="Q36" s="64"/>
      <c r="R36" s="64">
        <v>84</v>
      </c>
      <c r="S36" s="64">
        <v>71</v>
      </c>
      <c r="T36" s="64">
        <v>61</v>
      </c>
      <c r="U36" s="64">
        <v>31</v>
      </c>
      <c r="V36" s="64">
        <v>48.1</v>
      </c>
      <c r="W36" s="64">
        <v>19</v>
      </c>
      <c r="X36" s="64">
        <v>98.1</v>
      </c>
      <c r="Y36" s="64">
        <v>314.10000000000002</v>
      </c>
      <c r="Z36" s="64">
        <v>82</v>
      </c>
      <c r="AA36" s="64">
        <v>91</v>
      </c>
      <c r="AB36" s="64">
        <v>62</v>
      </c>
      <c r="AC36" s="64">
        <v>42</v>
      </c>
      <c r="AD36" s="64">
        <v>40.6</v>
      </c>
      <c r="AE36" s="64">
        <v>20</v>
      </c>
      <c r="AF36" s="64">
        <v>102.6</v>
      </c>
      <c r="AG36" s="64">
        <v>337.6</v>
      </c>
    </row>
    <row r="37" spans="1:33" ht="17.5" x14ac:dyDescent="0.25">
      <c r="A37" s="19" t="s">
        <v>305</v>
      </c>
      <c r="B37" s="64">
        <v>82</v>
      </c>
      <c r="C37" s="64">
        <v>96</v>
      </c>
      <c r="D37" s="64">
        <v>80</v>
      </c>
      <c r="E37" s="64">
        <v>22</v>
      </c>
      <c r="F37" s="64">
        <v>31</v>
      </c>
      <c r="G37" s="64">
        <v>22</v>
      </c>
      <c r="H37" s="64">
        <v>75</v>
      </c>
      <c r="I37" s="64">
        <v>333</v>
      </c>
      <c r="J37" s="64">
        <v>58</v>
      </c>
      <c r="K37" s="64">
        <v>60</v>
      </c>
      <c r="L37" s="64">
        <v>80</v>
      </c>
      <c r="M37" s="64">
        <v>12</v>
      </c>
      <c r="N37" s="64">
        <v>36.1</v>
      </c>
      <c r="O37" s="64">
        <v>19</v>
      </c>
      <c r="P37" s="64">
        <v>67.099999999999994</v>
      </c>
      <c r="Q37" s="64">
        <v>265.10000000000002</v>
      </c>
      <c r="R37" s="64"/>
      <c r="S37" s="64"/>
      <c r="T37" s="64"/>
      <c r="U37" s="64"/>
      <c r="V37" s="64"/>
      <c r="W37" s="64"/>
      <c r="X37" s="64"/>
      <c r="Y37" s="64"/>
      <c r="Z37" s="64">
        <v>76</v>
      </c>
      <c r="AA37" s="64">
        <v>70</v>
      </c>
      <c r="AB37" s="64">
        <v>70</v>
      </c>
      <c r="AC37" s="64">
        <v>18</v>
      </c>
      <c r="AD37" s="64">
        <v>30.8</v>
      </c>
      <c r="AE37" s="64">
        <v>24</v>
      </c>
      <c r="AF37" s="64">
        <v>72.8</v>
      </c>
      <c r="AG37" s="64">
        <v>288.8</v>
      </c>
    </row>
    <row r="38" spans="1:33" ht="17.5" x14ac:dyDescent="0.25">
      <c r="A38" s="19" t="s">
        <v>306</v>
      </c>
      <c r="B38" s="64">
        <v>84</v>
      </c>
      <c r="C38" s="64">
        <v>89</v>
      </c>
      <c r="D38" s="64">
        <v>85</v>
      </c>
      <c r="E38" s="64">
        <v>34</v>
      </c>
      <c r="F38" s="64">
        <v>44</v>
      </c>
      <c r="G38" s="64">
        <v>24</v>
      </c>
      <c r="H38" s="64">
        <f>SUM(E38:G38)</f>
        <v>102</v>
      </c>
      <c r="I38" s="64">
        <v>370</v>
      </c>
      <c r="J38" s="64">
        <v>74</v>
      </c>
      <c r="K38" s="64">
        <v>99</v>
      </c>
      <c r="L38" s="64">
        <v>88</v>
      </c>
      <c r="M38" s="64">
        <v>42</v>
      </c>
      <c r="N38" s="64">
        <v>41.4</v>
      </c>
      <c r="O38" s="64">
        <v>18</v>
      </c>
      <c r="P38" s="64">
        <v>101.4</v>
      </c>
      <c r="Q38" s="64">
        <v>362.4</v>
      </c>
      <c r="R38" s="64">
        <v>78</v>
      </c>
      <c r="S38" s="64">
        <v>90</v>
      </c>
      <c r="T38" s="64">
        <v>84</v>
      </c>
      <c r="U38" s="64">
        <v>34</v>
      </c>
      <c r="V38" s="64">
        <v>42.9</v>
      </c>
      <c r="W38" s="64">
        <v>26</v>
      </c>
      <c r="X38" s="64">
        <v>102.9</v>
      </c>
      <c r="Y38" s="64">
        <v>354.9</v>
      </c>
      <c r="Z38" s="64">
        <v>90</v>
      </c>
      <c r="AA38" s="64">
        <v>96</v>
      </c>
      <c r="AB38" s="64">
        <v>84</v>
      </c>
      <c r="AC38" s="64">
        <v>36</v>
      </c>
      <c r="AD38" s="64">
        <v>30.3</v>
      </c>
      <c r="AE38" s="64">
        <v>24</v>
      </c>
      <c r="AF38" s="64">
        <v>90.3</v>
      </c>
      <c r="AG38" s="64">
        <v>360.3</v>
      </c>
    </row>
    <row r="39" spans="1:33" ht="17.5" x14ac:dyDescent="0.25">
      <c r="A39" s="19" t="s">
        <v>307</v>
      </c>
      <c r="B39" s="64">
        <v>78</v>
      </c>
      <c r="C39" s="64">
        <v>89</v>
      </c>
      <c r="D39" s="64">
        <v>70</v>
      </c>
      <c r="E39" s="64">
        <v>39</v>
      </c>
      <c r="F39" s="64">
        <v>47</v>
      </c>
      <c r="G39" s="64">
        <v>20</v>
      </c>
      <c r="H39" s="64">
        <v>106</v>
      </c>
      <c r="I39" s="64">
        <v>343</v>
      </c>
      <c r="J39" s="64">
        <v>80</v>
      </c>
      <c r="K39" s="64">
        <v>92</v>
      </c>
      <c r="L39" s="64">
        <v>82</v>
      </c>
      <c r="M39" s="64">
        <v>30</v>
      </c>
      <c r="N39" s="64">
        <v>37.200000000000003</v>
      </c>
      <c r="O39" s="64">
        <v>17</v>
      </c>
      <c r="P39" s="64">
        <v>84.2</v>
      </c>
      <c r="Q39" s="64">
        <v>338.2</v>
      </c>
      <c r="R39" s="64">
        <v>80</v>
      </c>
      <c r="S39" s="64">
        <v>70</v>
      </c>
      <c r="T39" s="64">
        <v>80</v>
      </c>
      <c r="U39" s="64">
        <v>24</v>
      </c>
      <c r="V39" s="64">
        <v>39.700000000000003</v>
      </c>
      <c r="W39" s="64">
        <v>24</v>
      </c>
      <c r="X39" s="64">
        <v>87.7</v>
      </c>
      <c r="Y39" s="64">
        <v>317.7</v>
      </c>
      <c r="Z39" s="64">
        <v>80</v>
      </c>
      <c r="AA39" s="64">
        <v>86</v>
      </c>
      <c r="AB39" s="64">
        <v>58</v>
      </c>
      <c r="AC39" s="64">
        <v>27</v>
      </c>
      <c r="AD39" s="64">
        <v>38.799999999999997</v>
      </c>
      <c r="AE39" s="64">
        <v>25</v>
      </c>
      <c r="AF39" s="64">
        <v>90.8</v>
      </c>
      <c r="AG39" s="64">
        <v>314.8</v>
      </c>
    </row>
    <row r="40" spans="1:33" ht="17.5" x14ac:dyDescent="0.25">
      <c r="A40" s="19" t="s">
        <v>308</v>
      </c>
      <c r="B40" s="64">
        <v>80</v>
      </c>
      <c r="C40" s="64">
        <v>92</v>
      </c>
      <c r="D40" s="64">
        <v>78</v>
      </c>
      <c r="E40" s="64">
        <v>40</v>
      </c>
      <c r="F40" s="64">
        <v>39</v>
      </c>
      <c r="G40" s="64">
        <v>19</v>
      </c>
      <c r="H40" s="64">
        <v>98</v>
      </c>
      <c r="I40" s="64">
        <v>348</v>
      </c>
      <c r="J40" s="64">
        <v>60</v>
      </c>
      <c r="K40" s="64">
        <v>88</v>
      </c>
      <c r="L40" s="64">
        <v>74</v>
      </c>
      <c r="M40" s="64">
        <v>28</v>
      </c>
      <c r="N40" s="64">
        <v>32.799999999999997</v>
      </c>
      <c r="O40" s="64">
        <v>23</v>
      </c>
      <c r="P40" s="64">
        <v>83.8</v>
      </c>
      <c r="Q40" s="64">
        <v>305.8</v>
      </c>
      <c r="R40" s="64">
        <v>78</v>
      </c>
      <c r="S40" s="64">
        <v>80</v>
      </c>
      <c r="T40" s="64">
        <v>68</v>
      </c>
      <c r="U40" s="64">
        <v>32</v>
      </c>
      <c r="V40" s="64">
        <v>45.2</v>
      </c>
      <c r="W40" s="64">
        <v>27</v>
      </c>
      <c r="X40" s="64">
        <v>104.2</v>
      </c>
      <c r="Y40" s="64">
        <v>330.2</v>
      </c>
      <c r="Z40" s="64">
        <v>74</v>
      </c>
      <c r="AA40" s="64">
        <v>85</v>
      </c>
      <c r="AB40" s="64">
        <v>71</v>
      </c>
      <c r="AC40" s="64">
        <v>38</v>
      </c>
      <c r="AD40" s="64">
        <v>36.9</v>
      </c>
      <c r="AE40" s="64">
        <v>24</v>
      </c>
      <c r="AF40" s="64">
        <v>98.9</v>
      </c>
      <c r="AG40" s="64">
        <v>328.9</v>
      </c>
    </row>
    <row r="41" spans="1:33" ht="17.5" x14ac:dyDescent="0.25">
      <c r="A41" s="19" t="s">
        <v>25</v>
      </c>
      <c r="B41" s="64">
        <v>58</v>
      </c>
      <c r="C41" s="64">
        <v>54</v>
      </c>
      <c r="D41" s="64">
        <v>27</v>
      </c>
      <c r="E41" s="64">
        <v>33</v>
      </c>
      <c r="F41" s="64">
        <v>33</v>
      </c>
      <c r="G41" s="64">
        <v>15</v>
      </c>
      <c r="H41" s="64">
        <v>81</v>
      </c>
      <c r="I41" s="64">
        <v>220</v>
      </c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</row>
    <row r="42" spans="1:33" ht="17.5" x14ac:dyDescent="0.25">
      <c r="A42" s="19" t="s">
        <v>309</v>
      </c>
      <c r="B42" s="64">
        <v>60</v>
      </c>
      <c r="C42" s="64">
        <v>96</v>
      </c>
      <c r="D42" s="64">
        <v>57</v>
      </c>
      <c r="E42" s="64">
        <v>40</v>
      </c>
      <c r="F42" s="64">
        <v>41</v>
      </c>
      <c r="G42" s="64">
        <v>22</v>
      </c>
      <c r="H42" s="64">
        <v>103</v>
      </c>
      <c r="I42" s="64">
        <v>316</v>
      </c>
      <c r="J42" s="64">
        <v>72</v>
      </c>
      <c r="K42" s="64">
        <v>100</v>
      </c>
      <c r="L42" s="64">
        <v>65</v>
      </c>
      <c r="M42" s="64">
        <v>39</v>
      </c>
      <c r="N42" s="64">
        <v>43.8</v>
      </c>
      <c r="O42" s="64">
        <v>25</v>
      </c>
      <c r="P42" s="64">
        <v>107.8</v>
      </c>
      <c r="Q42" s="64">
        <v>344.8</v>
      </c>
      <c r="R42" s="64">
        <v>80</v>
      </c>
      <c r="S42" s="64">
        <v>92</v>
      </c>
      <c r="T42" s="64">
        <v>86</v>
      </c>
      <c r="U42" s="64">
        <v>33</v>
      </c>
      <c r="V42" s="64">
        <v>44.8</v>
      </c>
      <c r="W42" s="64">
        <v>26</v>
      </c>
      <c r="X42" s="64">
        <v>103.8</v>
      </c>
      <c r="Y42" s="64">
        <v>361.8</v>
      </c>
      <c r="Z42" s="64">
        <v>84</v>
      </c>
      <c r="AA42" s="64">
        <v>97</v>
      </c>
      <c r="AB42" s="64">
        <v>76</v>
      </c>
      <c r="AC42" s="64">
        <v>35</v>
      </c>
      <c r="AD42" s="64">
        <v>39.6</v>
      </c>
      <c r="AE42" s="64">
        <v>22</v>
      </c>
      <c r="AF42" s="64">
        <v>96.6</v>
      </c>
      <c r="AG42" s="64">
        <v>353.6</v>
      </c>
    </row>
    <row r="43" spans="1:33" ht="17.5" x14ac:dyDescent="0.25">
      <c r="A43" s="19" t="s">
        <v>310</v>
      </c>
      <c r="B43" s="64">
        <v>86</v>
      </c>
      <c r="C43" s="64">
        <v>95</v>
      </c>
      <c r="D43" s="64">
        <v>93</v>
      </c>
      <c r="E43" s="64">
        <v>45</v>
      </c>
      <c r="F43" s="64">
        <v>51</v>
      </c>
      <c r="G43" s="64">
        <v>22</v>
      </c>
      <c r="H43" s="64">
        <v>118</v>
      </c>
      <c r="I43" s="64">
        <v>392</v>
      </c>
      <c r="J43" s="64">
        <v>72</v>
      </c>
      <c r="K43" s="64">
        <v>97</v>
      </c>
      <c r="L43" s="64">
        <v>86</v>
      </c>
      <c r="M43" s="64">
        <v>46</v>
      </c>
      <c r="N43" s="64">
        <v>57.3</v>
      </c>
      <c r="O43" s="64">
        <v>22</v>
      </c>
      <c r="P43" s="64">
        <v>125.3</v>
      </c>
      <c r="Q43" s="64">
        <v>380.3</v>
      </c>
      <c r="R43" s="64"/>
      <c r="S43" s="64"/>
      <c r="T43" s="64"/>
      <c r="U43" s="64"/>
      <c r="V43" s="64"/>
      <c r="W43" s="64"/>
      <c r="X43" s="64"/>
      <c r="Y43" s="64"/>
      <c r="Z43" s="64">
        <v>88</v>
      </c>
      <c r="AA43" s="64">
        <v>94</v>
      </c>
      <c r="AB43" s="64">
        <v>79</v>
      </c>
      <c r="AC43" s="64">
        <v>42</v>
      </c>
      <c r="AD43" s="64">
        <v>49.7</v>
      </c>
      <c r="AE43" s="64">
        <v>22</v>
      </c>
      <c r="AF43" s="64">
        <v>113.7</v>
      </c>
      <c r="AG43" s="64">
        <v>374.7</v>
      </c>
    </row>
    <row r="44" spans="1:33" ht="17.5" x14ac:dyDescent="0.25">
      <c r="A44" s="19" t="s">
        <v>311</v>
      </c>
      <c r="B44" s="64">
        <v>88</v>
      </c>
      <c r="C44" s="64">
        <v>92</v>
      </c>
      <c r="D44" s="64">
        <v>77</v>
      </c>
      <c r="E44" s="64">
        <v>46</v>
      </c>
      <c r="F44" s="64">
        <v>47</v>
      </c>
      <c r="G44" s="64">
        <v>18</v>
      </c>
      <c r="H44" s="64">
        <v>111</v>
      </c>
      <c r="I44" s="64">
        <v>368</v>
      </c>
      <c r="J44" s="64">
        <v>70</v>
      </c>
      <c r="K44" s="64">
        <v>90</v>
      </c>
      <c r="L44" s="64">
        <v>68</v>
      </c>
      <c r="M44" s="64">
        <v>40.299999999999997</v>
      </c>
      <c r="N44" s="64">
        <v>28</v>
      </c>
      <c r="O44" s="64">
        <v>15</v>
      </c>
      <c r="P44" s="27">
        <v>83.3</v>
      </c>
      <c r="Q44" s="64">
        <v>311.3</v>
      </c>
      <c r="R44" s="64">
        <v>78</v>
      </c>
      <c r="S44" s="64">
        <v>83</v>
      </c>
      <c r="T44" s="64">
        <v>72</v>
      </c>
      <c r="U44" s="64">
        <v>27</v>
      </c>
      <c r="V44" s="64">
        <v>36.799999999999997</v>
      </c>
      <c r="W44" s="64">
        <v>25</v>
      </c>
      <c r="X44" s="64">
        <v>88.8</v>
      </c>
      <c r="Y44" s="64">
        <v>321.8</v>
      </c>
      <c r="Z44" s="64">
        <v>88</v>
      </c>
      <c r="AA44" s="64">
        <v>76</v>
      </c>
      <c r="AB44" s="64">
        <v>56</v>
      </c>
      <c r="AC44" s="64">
        <v>35</v>
      </c>
      <c r="AD44" s="64">
        <v>41.5</v>
      </c>
      <c r="AE44" s="64">
        <v>24</v>
      </c>
      <c r="AF44" s="64">
        <v>100.5</v>
      </c>
      <c r="AG44" s="64">
        <v>320.5</v>
      </c>
    </row>
    <row r="45" spans="1:33" ht="17.5" x14ac:dyDescent="0.25">
      <c r="A45" s="19" t="s">
        <v>312</v>
      </c>
      <c r="B45" s="64">
        <v>66</v>
      </c>
      <c r="C45" s="64">
        <v>81</v>
      </c>
      <c r="D45" s="64">
        <v>71</v>
      </c>
      <c r="E45" s="64">
        <v>41</v>
      </c>
      <c r="F45" s="64">
        <v>41</v>
      </c>
      <c r="G45" s="64">
        <v>19</v>
      </c>
      <c r="H45" s="64">
        <v>101</v>
      </c>
      <c r="I45" s="64">
        <v>319</v>
      </c>
      <c r="J45" s="64">
        <v>48</v>
      </c>
      <c r="K45" s="64">
        <v>39</v>
      </c>
      <c r="L45" s="64">
        <v>50</v>
      </c>
      <c r="M45" s="64"/>
      <c r="N45" s="64"/>
      <c r="O45" s="64"/>
      <c r="P45" s="64"/>
      <c r="Q45" s="64"/>
      <c r="R45" s="64">
        <v>56</v>
      </c>
      <c r="S45" s="64">
        <v>44</v>
      </c>
      <c r="T45" s="64">
        <v>44</v>
      </c>
      <c r="U45" s="64">
        <v>15</v>
      </c>
      <c r="V45" s="64">
        <v>27.5</v>
      </c>
      <c r="W45" s="64">
        <v>19</v>
      </c>
      <c r="X45" s="64">
        <v>61.5</v>
      </c>
      <c r="Y45" s="64">
        <v>205.5</v>
      </c>
      <c r="Z45" s="64">
        <v>64</v>
      </c>
      <c r="AA45" s="64">
        <v>52</v>
      </c>
      <c r="AB45" s="64">
        <v>49</v>
      </c>
      <c r="AC45" s="64">
        <v>31</v>
      </c>
      <c r="AD45" s="64">
        <v>29.3</v>
      </c>
      <c r="AE45" s="64">
        <v>17</v>
      </c>
      <c r="AF45" s="64">
        <v>77.3</v>
      </c>
      <c r="AG45" s="64">
        <v>242.3</v>
      </c>
    </row>
    <row r="46" spans="1:33" ht="17.5" x14ac:dyDescent="0.25">
      <c r="A46" s="19" t="s">
        <v>313</v>
      </c>
      <c r="B46" s="64">
        <v>58</v>
      </c>
      <c r="C46" s="64">
        <v>74</v>
      </c>
      <c r="D46" s="64">
        <v>30</v>
      </c>
      <c r="E46" s="64">
        <v>37</v>
      </c>
      <c r="F46" s="64">
        <v>38</v>
      </c>
      <c r="G46" s="64">
        <v>22</v>
      </c>
      <c r="H46" s="64">
        <v>97</v>
      </c>
      <c r="I46" s="64">
        <v>259</v>
      </c>
      <c r="J46" s="64">
        <v>48</v>
      </c>
      <c r="K46" s="64">
        <v>68</v>
      </c>
      <c r="L46" s="64">
        <v>35</v>
      </c>
      <c r="M46" s="64">
        <v>44</v>
      </c>
      <c r="N46" s="64">
        <v>34.4</v>
      </c>
      <c r="O46" s="64">
        <v>20</v>
      </c>
      <c r="P46" s="64">
        <v>98.4</v>
      </c>
      <c r="Q46" s="64">
        <v>249.4</v>
      </c>
      <c r="R46" s="64">
        <v>60</v>
      </c>
      <c r="S46" s="64">
        <v>79</v>
      </c>
      <c r="T46" s="64">
        <v>46</v>
      </c>
      <c r="U46" s="64">
        <v>36</v>
      </c>
      <c r="V46" s="64">
        <v>32.6</v>
      </c>
      <c r="W46" s="64">
        <v>18</v>
      </c>
      <c r="X46" s="64">
        <v>86.6</v>
      </c>
      <c r="Y46" s="64">
        <v>270.60000000000002</v>
      </c>
      <c r="Z46" s="64">
        <v>68</v>
      </c>
      <c r="AA46" s="64">
        <v>72</v>
      </c>
      <c r="AB46" s="64">
        <v>35</v>
      </c>
      <c r="AC46" s="64">
        <v>33</v>
      </c>
      <c r="AD46" s="64">
        <v>31.9</v>
      </c>
      <c r="AE46" s="64">
        <v>21</v>
      </c>
      <c r="AF46" s="64">
        <v>85.9</v>
      </c>
      <c r="AG46" s="64">
        <v>260.89999999999998</v>
      </c>
    </row>
    <row r="47" spans="1:33" ht="17.5" x14ac:dyDescent="0.25">
      <c r="A47" s="19" t="s">
        <v>314</v>
      </c>
      <c r="B47" s="64">
        <v>88</v>
      </c>
      <c r="C47" s="64">
        <v>98</v>
      </c>
      <c r="D47" s="64">
        <v>98</v>
      </c>
      <c r="E47" s="64">
        <v>51</v>
      </c>
      <c r="F47" s="64">
        <v>54</v>
      </c>
      <c r="G47" s="64">
        <v>20</v>
      </c>
      <c r="H47" s="64">
        <v>125</v>
      </c>
      <c r="I47" s="64">
        <v>409</v>
      </c>
      <c r="J47" s="64">
        <v>82</v>
      </c>
      <c r="K47" s="64">
        <v>99</v>
      </c>
      <c r="L47" s="64">
        <v>84</v>
      </c>
      <c r="M47" s="64">
        <v>57</v>
      </c>
      <c r="N47" s="64">
        <v>48</v>
      </c>
      <c r="O47" s="64">
        <v>23</v>
      </c>
      <c r="P47" s="64">
        <v>128</v>
      </c>
      <c r="Q47" s="64">
        <v>393</v>
      </c>
      <c r="R47" s="64">
        <v>92</v>
      </c>
      <c r="S47" s="64">
        <v>91</v>
      </c>
      <c r="T47" s="64">
        <v>80</v>
      </c>
      <c r="U47" s="64">
        <v>47</v>
      </c>
      <c r="V47" s="64">
        <v>47.9</v>
      </c>
      <c r="W47" s="64">
        <v>24</v>
      </c>
      <c r="X47" s="64">
        <v>118.9</v>
      </c>
      <c r="Y47" s="64">
        <v>381.9</v>
      </c>
      <c r="Z47" s="64">
        <v>92</v>
      </c>
      <c r="AA47" s="64">
        <v>96</v>
      </c>
      <c r="AB47" s="64">
        <v>75</v>
      </c>
      <c r="AC47" s="64">
        <v>53</v>
      </c>
      <c r="AD47" s="64">
        <v>51.6</v>
      </c>
      <c r="AE47" s="64">
        <v>25</v>
      </c>
      <c r="AF47" s="64">
        <v>129.6</v>
      </c>
      <c r="AG47" s="64">
        <v>392.6</v>
      </c>
    </row>
    <row r="48" spans="1:33" ht="17.5" x14ac:dyDescent="0.25">
      <c r="A48" s="19" t="s">
        <v>315</v>
      </c>
      <c r="B48" s="64">
        <v>60</v>
      </c>
      <c r="C48" s="64">
        <v>86</v>
      </c>
      <c r="D48" s="64">
        <v>49</v>
      </c>
      <c r="E48" s="64">
        <v>37</v>
      </c>
      <c r="F48" s="64">
        <v>37</v>
      </c>
      <c r="G48" s="64">
        <v>17</v>
      </c>
      <c r="H48" s="64">
        <v>91</v>
      </c>
      <c r="I48" s="64">
        <v>286</v>
      </c>
      <c r="J48" s="64">
        <v>64</v>
      </c>
      <c r="K48" s="64">
        <v>91</v>
      </c>
      <c r="L48" s="64">
        <v>66</v>
      </c>
      <c r="M48" s="64">
        <v>18</v>
      </c>
      <c r="N48" s="64">
        <v>42.1</v>
      </c>
      <c r="O48" s="64">
        <v>16</v>
      </c>
      <c r="P48" s="64">
        <v>76.099999999999994</v>
      </c>
      <c r="Q48" s="64">
        <v>297.10000000000002</v>
      </c>
      <c r="R48" s="64"/>
      <c r="S48" s="64"/>
      <c r="T48" s="64"/>
      <c r="U48" s="64"/>
      <c r="V48" s="64"/>
      <c r="W48" s="64"/>
      <c r="X48" s="64"/>
      <c r="Y48" s="64"/>
      <c r="Z48" s="64">
        <v>66</v>
      </c>
      <c r="AA48" s="64">
        <v>75</v>
      </c>
      <c r="AB48" s="64">
        <v>56</v>
      </c>
      <c r="AC48" s="64">
        <v>14</v>
      </c>
      <c r="AD48" s="64">
        <v>41.3</v>
      </c>
      <c r="AE48" s="64">
        <v>16</v>
      </c>
      <c r="AF48" s="64">
        <v>71.3</v>
      </c>
      <c r="AG48" s="64">
        <v>268.3</v>
      </c>
    </row>
    <row r="49" spans="1:33" ht="17.5" x14ac:dyDescent="0.25">
      <c r="A49" s="19" t="s">
        <v>316</v>
      </c>
      <c r="B49" s="64">
        <v>68</v>
      </c>
      <c r="C49" s="64">
        <v>90</v>
      </c>
      <c r="D49" s="64">
        <v>71</v>
      </c>
      <c r="E49" s="64">
        <v>33</v>
      </c>
      <c r="F49" s="64">
        <v>35</v>
      </c>
      <c r="G49" s="64">
        <v>22</v>
      </c>
      <c r="H49" s="64">
        <v>90</v>
      </c>
      <c r="I49" s="64">
        <v>319</v>
      </c>
      <c r="J49" s="64"/>
      <c r="K49" s="64"/>
      <c r="L49" s="64"/>
      <c r="M49" s="64"/>
      <c r="N49" s="64"/>
      <c r="O49" s="64"/>
      <c r="P49" s="64"/>
      <c r="Q49" s="64"/>
      <c r="R49" s="64">
        <v>66</v>
      </c>
      <c r="S49" s="64">
        <v>95</v>
      </c>
      <c r="T49" s="64">
        <v>69</v>
      </c>
      <c r="U49" s="64">
        <v>22</v>
      </c>
      <c r="V49" s="64">
        <v>32.799999999999997</v>
      </c>
      <c r="W49" s="64">
        <v>22</v>
      </c>
      <c r="X49" s="64">
        <v>76.8</v>
      </c>
      <c r="Y49" s="64">
        <v>306.8</v>
      </c>
      <c r="Z49" s="64">
        <v>82</v>
      </c>
      <c r="AA49" s="64">
        <v>89</v>
      </c>
      <c r="AB49" s="64">
        <v>69</v>
      </c>
      <c r="AC49" s="64">
        <v>21</v>
      </c>
      <c r="AD49" s="64">
        <v>35.200000000000003</v>
      </c>
      <c r="AE49" s="64">
        <v>21</v>
      </c>
      <c r="AF49" s="64">
        <v>77.2</v>
      </c>
      <c r="AG49" s="64">
        <v>317.2</v>
      </c>
    </row>
    <row r="50" spans="1:33" ht="17.5" x14ac:dyDescent="0.25">
      <c r="A50" s="19" t="s">
        <v>317</v>
      </c>
      <c r="B50" s="64">
        <v>60</v>
      </c>
      <c r="C50" s="64">
        <v>74</v>
      </c>
      <c r="D50" s="64">
        <v>60</v>
      </c>
      <c r="E50" s="64">
        <v>36</v>
      </c>
      <c r="F50" s="64">
        <v>48</v>
      </c>
      <c r="G50" s="64">
        <v>15</v>
      </c>
      <c r="H50" s="64">
        <v>99</v>
      </c>
      <c r="I50" s="64">
        <v>293</v>
      </c>
      <c r="J50" s="64"/>
      <c r="K50" s="64"/>
      <c r="L50" s="64"/>
      <c r="M50" s="64"/>
      <c r="N50" s="64"/>
      <c r="O50" s="64"/>
      <c r="P50" s="64"/>
      <c r="Q50" s="64"/>
      <c r="R50" s="64">
        <v>64</v>
      </c>
      <c r="S50" s="64">
        <v>76</v>
      </c>
      <c r="T50" s="64">
        <v>65</v>
      </c>
      <c r="U50" s="64">
        <v>27</v>
      </c>
      <c r="V50" s="64">
        <v>27.5</v>
      </c>
      <c r="W50" s="64">
        <v>20</v>
      </c>
      <c r="X50" s="64">
        <v>74.5</v>
      </c>
      <c r="Y50" s="64">
        <v>279.5</v>
      </c>
      <c r="Z50" s="64">
        <v>70</v>
      </c>
      <c r="AA50" s="64">
        <v>90</v>
      </c>
      <c r="AB50" s="64">
        <v>72</v>
      </c>
      <c r="AC50" s="64">
        <v>22</v>
      </c>
      <c r="AD50" s="64">
        <v>27.6</v>
      </c>
      <c r="AE50" s="64">
        <v>22</v>
      </c>
      <c r="AF50" s="64">
        <v>71.599999999999994</v>
      </c>
      <c r="AG50" s="64">
        <v>303.60000000000002</v>
      </c>
    </row>
    <row r="51" spans="1:33" ht="17.5" x14ac:dyDescent="0.25">
      <c r="A51" s="19" t="s">
        <v>318</v>
      </c>
      <c r="B51" s="20"/>
      <c r="C51" s="20"/>
      <c r="D51" s="20"/>
      <c r="E51" s="20"/>
      <c r="F51" s="20"/>
      <c r="G51" s="20"/>
      <c r="H51" s="20"/>
      <c r="I51" s="20"/>
      <c r="J51" s="66">
        <v>68</v>
      </c>
      <c r="K51" s="66">
        <v>82</v>
      </c>
      <c r="L51" s="66">
        <v>86</v>
      </c>
      <c r="M51" s="66">
        <v>28</v>
      </c>
      <c r="N51" s="66">
        <v>39.700000000000003</v>
      </c>
      <c r="O51" s="66">
        <v>19</v>
      </c>
      <c r="P51" s="66">
        <v>86.7</v>
      </c>
      <c r="Q51" s="64">
        <v>322.7</v>
      </c>
      <c r="R51" s="64">
        <v>78</v>
      </c>
      <c r="S51" s="64">
        <v>71</v>
      </c>
      <c r="T51" s="64">
        <v>90</v>
      </c>
      <c r="U51" s="64">
        <v>22</v>
      </c>
      <c r="V51" s="64">
        <v>38.1</v>
      </c>
      <c r="W51" s="64">
        <v>25</v>
      </c>
      <c r="X51" s="64">
        <v>85.1</v>
      </c>
      <c r="Y51" s="64">
        <v>324.10000000000002</v>
      </c>
      <c r="Z51" s="64">
        <v>80</v>
      </c>
      <c r="AA51" s="64">
        <v>77</v>
      </c>
      <c r="AB51" s="64">
        <v>82</v>
      </c>
      <c r="AC51" s="64">
        <v>39</v>
      </c>
      <c r="AD51" s="64">
        <v>41.1</v>
      </c>
      <c r="AE51" s="64">
        <v>21</v>
      </c>
      <c r="AF51" s="64">
        <v>101.1</v>
      </c>
      <c r="AG51" s="64">
        <v>340.1</v>
      </c>
    </row>
    <row r="52" spans="1:33" x14ac:dyDescent="0.25">
      <c r="A52" s="27" t="s">
        <v>319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64">
        <v>44</v>
      </c>
      <c r="S52" s="64">
        <v>76</v>
      </c>
      <c r="T52" s="64">
        <v>65</v>
      </c>
      <c r="U52" s="64">
        <v>14</v>
      </c>
      <c r="V52" s="64">
        <v>25.8</v>
      </c>
      <c r="W52" s="64">
        <v>24</v>
      </c>
      <c r="X52" s="64">
        <v>63.8</v>
      </c>
      <c r="Y52" s="64">
        <v>248.8</v>
      </c>
      <c r="Z52" s="64">
        <v>86</v>
      </c>
      <c r="AA52" s="64">
        <v>81</v>
      </c>
      <c r="AB52" s="64">
        <v>41</v>
      </c>
      <c r="AC52" s="64">
        <v>31</v>
      </c>
      <c r="AD52" s="64">
        <v>38.700000000000003</v>
      </c>
      <c r="AE52" s="64">
        <v>22</v>
      </c>
      <c r="AF52" s="64">
        <v>91.7</v>
      </c>
      <c r="AG52" s="64">
        <v>299.7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B1:I1"/>
    <mergeCell ref="J1:Q1"/>
    <mergeCell ref="R1:Y1"/>
    <mergeCell ref="Z1:AG1"/>
  </mergeCells>
  <phoneticPr fontId="1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>
      <selection activeCell="H34" sqref="H34"/>
    </sheetView>
  </sheetViews>
  <sheetFormatPr defaultColWidth="9.6328125" defaultRowHeight="14" x14ac:dyDescent="0.25"/>
  <sheetData/>
  <sheetProtection formatCells="0" formatColumns="0" formatRows="0" insertColumns="0" insertRows="0" insertHyperlinks="0" deleteColumns="0" deleteRows="0" sort="0" autoFilter="0" pivotTables="0"/>
  <phoneticPr fontId="15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8"/>
  <sheetViews>
    <sheetView tabSelected="1" zoomScale="70" zoomScaleNormal="70" workbookViewId="0">
      <pane xSplit="1" topLeftCell="B1" activePane="topRight" state="frozen"/>
      <selection pane="topRight" activeCell="N19" sqref="N19"/>
    </sheetView>
  </sheetViews>
  <sheetFormatPr defaultColWidth="9.6328125" defaultRowHeight="14" x14ac:dyDescent="0.25"/>
  <cols>
    <col min="1" max="1" width="9.54296875" bestFit="1" customWidth="1"/>
    <col min="2" max="3" width="5.453125" bestFit="1" customWidth="1"/>
    <col min="4" max="6" width="9.26953125" bestFit="1" customWidth="1"/>
    <col min="7" max="7" width="11.36328125" bestFit="1" customWidth="1"/>
    <col min="8" max="8" width="9.26953125" bestFit="1" customWidth="1"/>
    <col min="9" max="11" width="5.453125" bestFit="1" customWidth="1"/>
    <col min="12" max="14" width="9.26953125" bestFit="1" customWidth="1"/>
    <col min="15" max="15" width="11.36328125" bestFit="1" customWidth="1"/>
    <col min="16" max="16" width="9.26953125" bestFit="1" customWidth="1"/>
    <col min="17" max="19" width="5.453125" bestFit="1" customWidth="1"/>
    <col min="20" max="22" width="9.26953125" bestFit="1" customWidth="1"/>
    <col min="23" max="23" width="11.36328125" bestFit="1" customWidth="1"/>
    <col min="24" max="24" width="9.26953125" bestFit="1" customWidth="1"/>
    <col min="25" max="27" width="5.453125" bestFit="1" customWidth="1"/>
    <col min="28" max="30" width="9.26953125" bestFit="1" customWidth="1"/>
    <col min="31" max="31" width="11.36328125" bestFit="1" customWidth="1"/>
    <col min="32" max="32" width="9.26953125" bestFit="1" customWidth="1"/>
    <col min="33" max="33" width="5.453125" bestFit="1" customWidth="1"/>
  </cols>
  <sheetData>
    <row r="1" spans="1:33" ht="17.5" x14ac:dyDescent="0.25">
      <c r="A1" s="4"/>
      <c r="B1" s="99" t="s">
        <v>0</v>
      </c>
      <c r="C1" s="99"/>
      <c r="D1" s="99"/>
      <c r="E1" s="99"/>
      <c r="F1" s="99"/>
      <c r="G1" s="99"/>
      <c r="H1" s="99"/>
      <c r="I1" s="99"/>
      <c r="J1" s="99" t="s">
        <v>1</v>
      </c>
      <c r="K1" s="99"/>
      <c r="L1" s="99"/>
      <c r="M1" s="99"/>
      <c r="N1" s="99"/>
      <c r="O1" s="99"/>
      <c r="P1" s="99"/>
      <c r="Q1" s="99"/>
      <c r="R1" s="99" t="s">
        <v>2</v>
      </c>
      <c r="S1" s="99"/>
      <c r="T1" s="99"/>
      <c r="U1" s="99"/>
      <c r="V1" s="99"/>
      <c r="W1" s="99"/>
      <c r="X1" s="99"/>
      <c r="Y1" s="99"/>
      <c r="Z1" s="99" t="s">
        <v>38</v>
      </c>
      <c r="AA1" s="99"/>
      <c r="AB1" s="99"/>
      <c r="AC1" s="99"/>
      <c r="AD1" s="99"/>
      <c r="AE1" s="99"/>
      <c r="AF1" s="99"/>
      <c r="AG1" s="99"/>
    </row>
    <row r="2" spans="1:33" ht="17.5" x14ac:dyDescent="0.25">
      <c r="A2" s="19" t="s">
        <v>5</v>
      </c>
      <c r="B2" s="27" t="s">
        <v>3</v>
      </c>
      <c r="C2" s="27" t="s">
        <v>4</v>
      </c>
      <c r="D2" s="78" t="s">
        <v>528</v>
      </c>
      <c r="E2" s="27" t="s">
        <v>320</v>
      </c>
      <c r="F2" s="27" t="s">
        <v>323</v>
      </c>
      <c r="G2" s="27" t="s">
        <v>324</v>
      </c>
      <c r="H2" s="27" t="s">
        <v>8</v>
      </c>
      <c r="I2" s="27" t="s">
        <v>9</v>
      </c>
      <c r="J2" s="27" t="s">
        <v>3</v>
      </c>
      <c r="K2" s="27" t="s">
        <v>4</v>
      </c>
      <c r="L2" s="78" t="s">
        <v>528</v>
      </c>
      <c r="M2" s="27" t="s">
        <v>320</v>
      </c>
      <c r="N2" s="27" t="s">
        <v>323</v>
      </c>
      <c r="O2" s="27" t="s">
        <v>324</v>
      </c>
      <c r="P2" s="27" t="s">
        <v>8</v>
      </c>
      <c r="Q2" s="27" t="s">
        <v>9</v>
      </c>
      <c r="R2" s="27" t="s">
        <v>3</v>
      </c>
      <c r="S2" s="27" t="s">
        <v>4</v>
      </c>
      <c r="T2" s="78" t="s">
        <v>528</v>
      </c>
      <c r="U2" s="27" t="s">
        <v>320</v>
      </c>
      <c r="V2" s="27" t="s">
        <v>323</v>
      </c>
      <c r="W2" s="27" t="s">
        <v>324</v>
      </c>
      <c r="X2" s="27" t="s">
        <v>8</v>
      </c>
      <c r="Y2" s="27" t="s">
        <v>9</v>
      </c>
      <c r="Z2" s="27" t="s">
        <v>3</v>
      </c>
      <c r="AA2" s="27" t="s">
        <v>4</v>
      </c>
      <c r="AB2" s="78" t="s">
        <v>528</v>
      </c>
      <c r="AC2" s="27" t="s">
        <v>320</v>
      </c>
      <c r="AD2" s="27" t="s">
        <v>323</v>
      </c>
      <c r="AE2" s="27" t="s">
        <v>324</v>
      </c>
      <c r="AF2" s="27" t="s">
        <v>8</v>
      </c>
      <c r="AG2" s="27" t="s">
        <v>9</v>
      </c>
    </row>
    <row r="3" spans="1:33" ht="17.5" x14ac:dyDescent="0.25">
      <c r="A3" s="19" t="s">
        <v>325</v>
      </c>
      <c r="B3" s="20"/>
      <c r="C3" s="20"/>
      <c r="D3" s="20"/>
      <c r="E3" s="20"/>
      <c r="F3" s="20"/>
      <c r="G3" s="20"/>
      <c r="H3" s="20"/>
      <c r="I3" s="27"/>
      <c r="J3" s="20"/>
      <c r="K3" s="20"/>
      <c r="L3" s="20"/>
      <c r="M3" s="20"/>
      <c r="N3" s="20"/>
      <c r="O3" s="20"/>
      <c r="P3" s="20"/>
      <c r="Q3" s="27"/>
      <c r="R3" s="20">
        <v>68</v>
      </c>
      <c r="S3" s="20">
        <v>49</v>
      </c>
      <c r="T3" s="20">
        <v>52</v>
      </c>
      <c r="U3" s="20">
        <v>39</v>
      </c>
      <c r="V3" s="20">
        <v>23</v>
      </c>
      <c r="W3" s="20">
        <v>10</v>
      </c>
      <c r="X3" s="20">
        <f>U3+V3+W3</f>
        <v>72</v>
      </c>
      <c r="Y3" s="20">
        <f>R3+S3+T3+X3</f>
        <v>241</v>
      </c>
      <c r="Z3" s="20">
        <v>80</v>
      </c>
      <c r="AA3" s="20">
        <v>41</v>
      </c>
      <c r="AB3" s="20">
        <v>49</v>
      </c>
      <c r="AC3" s="20">
        <v>43</v>
      </c>
      <c r="AD3" s="20">
        <v>40</v>
      </c>
      <c r="AE3" s="20">
        <v>30</v>
      </c>
      <c r="AF3" s="20">
        <v>113</v>
      </c>
      <c r="AG3" s="20">
        <v>283</v>
      </c>
    </row>
    <row r="4" spans="1:33" ht="17.5" x14ac:dyDescent="0.25">
      <c r="A4" s="19" t="s">
        <v>326</v>
      </c>
      <c r="B4" s="20">
        <v>84</v>
      </c>
      <c r="C4" s="20">
        <v>95</v>
      </c>
      <c r="D4" s="20">
        <v>77</v>
      </c>
      <c r="E4" s="20">
        <v>52</v>
      </c>
      <c r="F4" s="20">
        <v>48</v>
      </c>
      <c r="G4" s="20">
        <v>20</v>
      </c>
      <c r="H4" s="20">
        <f t="shared" ref="H4:H13" si="0">E4+F4+G4</f>
        <v>120</v>
      </c>
      <c r="I4" s="20">
        <f t="shared" ref="I4:I13" si="1">B4+C4+D4+H4</f>
        <v>376</v>
      </c>
      <c r="J4" s="20">
        <v>80</v>
      </c>
      <c r="K4" s="20">
        <v>90</v>
      </c>
      <c r="L4" s="20">
        <v>78</v>
      </c>
      <c r="M4" s="20">
        <v>56</v>
      </c>
      <c r="N4" s="20">
        <v>23</v>
      </c>
      <c r="O4" s="20">
        <v>14</v>
      </c>
      <c r="P4" s="20">
        <f>M4+N4+O4</f>
        <v>93</v>
      </c>
      <c r="Q4" s="20">
        <f>J4+K4+L4+P4</f>
        <v>341</v>
      </c>
      <c r="R4" s="20">
        <v>76</v>
      </c>
      <c r="S4" s="20">
        <v>87</v>
      </c>
      <c r="T4" s="20">
        <v>78</v>
      </c>
      <c r="U4" s="20">
        <v>50</v>
      </c>
      <c r="V4" s="20">
        <v>26</v>
      </c>
      <c r="W4" s="20">
        <v>24</v>
      </c>
      <c r="X4" s="20">
        <f t="shared" ref="X4:X15" si="2">U4+V4+W4</f>
        <v>100</v>
      </c>
      <c r="Y4" s="20">
        <f t="shared" ref="Y4:Y15" si="3">R4+S4+T4+X4</f>
        <v>341</v>
      </c>
      <c r="Z4" s="20"/>
      <c r="AA4" s="20"/>
      <c r="AB4" s="20"/>
      <c r="AC4" s="20"/>
      <c r="AD4" s="20"/>
      <c r="AE4" s="20"/>
      <c r="AF4" s="20"/>
      <c r="AG4" s="27"/>
    </row>
    <row r="5" spans="1:33" ht="17.5" x14ac:dyDescent="0.25">
      <c r="A5" s="19" t="s">
        <v>327</v>
      </c>
      <c r="B5" s="20">
        <v>76</v>
      </c>
      <c r="C5" s="20">
        <v>74</v>
      </c>
      <c r="D5" s="20">
        <v>61</v>
      </c>
      <c r="E5" s="20">
        <v>54</v>
      </c>
      <c r="F5" s="20">
        <v>36</v>
      </c>
      <c r="G5" s="20">
        <v>26</v>
      </c>
      <c r="H5" s="20">
        <f t="shared" si="0"/>
        <v>116</v>
      </c>
      <c r="I5" s="20">
        <f t="shared" si="1"/>
        <v>327</v>
      </c>
      <c r="J5" s="20">
        <v>64</v>
      </c>
      <c r="K5" s="20">
        <v>71</v>
      </c>
      <c r="L5" s="20">
        <v>86</v>
      </c>
      <c r="M5" s="20">
        <v>42</v>
      </c>
      <c r="N5" s="20">
        <v>19</v>
      </c>
      <c r="O5" s="20">
        <v>14</v>
      </c>
      <c r="P5" s="20">
        <f t="shared" ref="P5:P15" si="4">M5+N5+O5</f>
        <v>75</v>
      </c>
      <c r="Q5" s="20">
        <f t="shared" ref="Q5:Q15" si="5">J5+K5+L5+P5</f>
        <v>296</v>
      </c>
      <c r="R5" s="20">
        <v>68</v>
      </c>
      <c r="S5" s="20">
        <v>63</v>
      </c>
      <c r="T5" s="20">
        <v>73</v>
      </c>
      <c r="U5" s="20">
        <v>47</v>
      </c>
      <c r="V5" s="20">
        <v>26</v>
      </c>
      <c r="W5" s="20">
        <v>24</v>
      </c>
      <c r="X5" s="20">
        <f t="shared" si="2"/>
        <v>97</v>
      </c>
      <c r="Y5" s="20">
        <f t="shared" si="3"/>
        <v>301</v>
      </c>
      <c r="Z5" s="20">
        <v>68</v>
      </c>
      <c r="AA5" s="20">
        <v>82</v>
      </c>
      <c r="AB5" s="20">
        <v>75</v>
      </c>
      <c r="AC5" s="20">
        <v>41</v>
      </c>
      <c r="AD5" s="20">
        <v>48</v>
      </c>
      <c r="AE5" s="20">
        <v>30</v>
      </c>
      <c r="AF5" s="20">
        <v>119</v>
      </c>
      <c r="AG5" s="20">
        <v>344</v>
      </c>
    </row>
    <row r="6" spans="1:33" ht="17.5" x14ac:dyDescent="0.25">
      <c r="A6" s="19" t="s">
        <v>328</v>
      </c>
      <c r="B6" s="20">
        <v>86</v>
      </c>
      <c r="C6" s="20">
        <v>79</v>
      </c>
      <c r="D6" s="20">
        <v>83</v>
      </c>
      <c r="E6" s="20">
        <v>60</v>
      </c>
      <c r="F6" s="20">
        <v>36</v>
      </c>
      <c r="G6" s="20">
        <v>30</v>
      </c>
      <c r="H6" s="20">
        <f t="shared" si="0"/>
        <v>126</v>
      </c>
      <c r="I6" s="20">
        <f t="shared" si="1"/>
        <v>374</v>
      </c>
      <c r="J6" s="20">
        <v>70</v>
      </c>
      <c r="K6" s="20">
        <v>80</v>
      </c>
      <c r="L6" s="20">
        <v>80</v>
      </c>
      <c r="M6" s="20">
        <v>48</v>
      </c>
      <c r="N6" s="20">
        <v>17</v>
      </c>
      <c r="O6" s="20">
        <v>18</v>
      </c>
      <c r="P6" s="20">
        <f t="shared" si="4"/>
        <v>83</v>
      </c>
      <c r="Q6" s="20">
        <f t="shared" si="5"/>
        <v>313</v>
      </c>
      <c r="R6" s="20">
        <v>82</v>
      </c>
      <c r="S6" s="20">
        <v>74</v>
      </c>
      <c r="T6" s="20">
        <v>73</v>
      </c>
      <c r="U6" s="20">
        <v>44</v>
      </c>
      <c r="V6" s="20">
        <v>27</v>
      </c>
      <c r="W6" s="20">
        <v>30</v>
      </c>
      <c r="X6" s="20">
        <f t="shared" si="2"/>
        <v>101</v>
      </c>
      <c r="Y6" s="20">
        <f t="shared" si="3"/>
        <v>330</v>
      </c>
      <c r="Z6" s="20">
        <v>88</v>
      </c>
      <c r="AA6" s="20">
        <v>90</v>
      </c>
      <c r="AB6" s="20">
        <v>82</v>
      </c>
      <c r="AC6" s="20">
        <v>50</v>
      </c>
      <c r="AD6" s="20">
        <v>46</v>
      </c>
      <c r="AE6" s="20">
        <v>30</v>
      </c>
      <c r="AF6" s="20">
        <v>126</v>
      </c>
      <c r="AG6" s="20">
        <v>386</v>
      </c>
    </row>
    <row r="7" spans="1:33" ht="17.5" x14ac:dyDescent="0.25">
      <c r="A7" s="19" t="s">
        <v>329</v>
      </c>
      <c r="B7" s="20">
        <v>66</v>
      </c>
      <c r="C7" s="20">
        <v>70</v>
      </c>
      <c r="D7" s="20">
        <v>85</v>
      </c>
      <c r="E7" s="20">
        <v>50</v>
      </c>
      <c r="F7" s="20">
        <v>30</v>
      </c>
      <c r="G7" s="20">
        <v>18</v>
      </c>
      <c r="H7" s="20">
        <f t="shared" si="0"/>
        <v>98</v>
      </c>
      <c r="I7" s="20">
        <f t="shared" si="1"/>
        <v>319</v>
      </c>
      <c r="J7" s="20">
        <v>62</v>
      </c>
      <c r="K7" s="20">
        <v>73</v>
      </c>
      <c r="L7" s="20">
        <v>84</v>
      </c>
      <c r="M7" s="20">
        <v>48</v>
      </c>
      <c r="N7" s="20">
        <v>20</v>
      </c>
      <c r="O7" s="20">
        <v>18</v>
      </c>
      <c r="P7" s="20">
        <f t="shared" si="4"/>
        <v>86</v>
      </c>
      <c r="Q7" s="20">
        <f t="shared" si="5"/>
        <v>305</v>
      </c>
      <c r="R7" s="20"/>
      <c r="S7" s="20"/>
      <c r="T7" s="20"/>
      <c r="U7" s="20"/>
      <c r="V7" s="20"/>
      <c r="W7" s="20"/>
      <c r="X7" s="20"/>
      <c r="Y7" s="27"/>
      <c r="Z7" s="20">
        <v>84</v>
      </c>
      <c r="AA7" s="20">
        <v>82</v>
      </c>
      <c r="AB7" s="20">
        <v>64</v>
      </c>
      <c r="AC7" s="20">
        <v>50</v>
      </c>
      <c r="AD7" s="20">
        <v>50</v>
      </c>
      <c r="AE7" s="20">
        <v>30</v>
      </c>
      <c r="AF7" s="20">
        <v>130</v>
      </c>
      <c r="AG7" s="20">
        <v>360</v>
      </c>
    </row>
    <row r="8" spans="1:33" ht="17.5" x14ac:dyDescent="0.25">
      <c r="A8" s="19" t="s">
        <v>330</v>
      </c>
      <c r="B8" s="20">
        <v>94</v>
      </c>
      <c r="C8" s="20">
        <v>84</v>
      </c>
      <c r="D8" s="20">
        <v>62</v>
      </c>
      <c r="E8" s="20">
        <v>50</v>
      </c>
      <c r="F8" s="20">
        <v>38</v>
      </c>
      <c r="G8" s="20">
        <v>18</v>
      </c>
      <c r="H8" s="20">
        <f t="shared" si="0"/>
        <v>106</v>
      </c>
      <c r="I8" s="20">
        <f t="shared" si="1"/>
        <v>346</v>
      </c>
      <c r="J8" s="20">
        <v>80</v>
      </c>
      <c r="K8" s="20">
        <v>82</v>
      </c>
      <c r="L8" s="20">
        <v>66</v>
      </c>
      <c r="M8" s="20">
        <v>48</v>
      </c>
      <c r="N8" s="20">
        <v>20</v>
      </c>
      <c r="O8" s="20">
        <v>24</v>
      </c>
      <c r="P8" s="20">
        <f t="shared" si="4"/>
        <v>92</v>
      </c>
      <c r="Q8" s="20">
        <f t="shared" si="5"/>
        <v>320</v>
      </c>
      <c r="R8" s="20">
        <v>96</v>
      </c>
      <c r="S8" s="20">
        <v>79</v>
      </c>
      <c r="T8" s="20">
        <v>63</v>
      </c>
      <c r="U8" s="20">
        <v>50</v>
      </c>
      <c r="V8" s="20">
        <v>26</v>
      </c>
      <c r="W8" s="20">
        <v>16</v>
      </c>
      <c r="X8" s="20">
        <f t="shared" si="2"/>
        <v>92</v>
      </c>
      <c r="Y8" s="20">
        <f t="shared" si="3"/>
        <v>330</v>
      </c>
      <c r="Z8" s="20">
        <v>90</v>
      </c>
      <c r="AA8" s="20">
        <v>80</v>
      </c>
      <c r="AB8" s="20">
        <v>61</v>
      </c>
      <c r="AC8" s="20">
        <v>43</v>
      </c>
      <c r="AD8" s="20">
        <v>48</v>
      </c>
      <c r="AE8" s="20">
        <v>30</v>
      </c>
      <c r="AF8" s="20">
        <v>121</v>
      </c>
      <c r="AG8" s="20">
        <v>352</v>
      </c>
    </row>
    <row r="9" spans="1:33" ht="17.5" x14ac:dyDescent="0.25">
      <c r="A9" s="19" t="s">
        <v>331</v>
      </c>
      <c r="B9" s="20">
        <v>52</v>
      </c>
      <c r="C9" s="20">
        <v>66</v>
      </c>
      <c r="D9" s="20">
        <v>40</v>
      </c>
      <c r="E9" s="20">
        <v>30</v>
      </c>
      <c r="F9" s="20">
        <v>30</v>
      </c>
      <c r="G9" s="20">
        <v>22</v>
      </c>
      <c r="H9" s="20">
        <f t="shared" si="0"/>
        <v>82</v>
      </c>
      <c r="I9" s="20">
        <f t="shared" si="1"/>
        <v>240</v>
      </c>
      <c r="J9" s="20"/>
      <c r="K9" s="20"/>
      <c r="L9" s="20"/>
      <c r="M9" s="20"/>
      <c r="N9" s="20"/>
      <c r="O9" s="20"/>
      <c r="P9" s="20"/>
      <c r="Q9" s="27"/>
      <c r="R9" s="20">
        <v>44</v>
      </c>
      <c r="S9" s="20">
        <v>40</v>
      </c>
      <c r="T9" s="20">
        <v>26</v>
      </c>
      <c r="U9" s="20">
        <v>37</v>
      </c>
      <c r="V9" s="20">
        <v>23</v>
      </c>
      <c r="W9" s="20">
        <v>24</v>
      </c>
      <c r="X9" s="20">
        <f t="shared" si="2"/>
        <v>84</v>
      </c>
      <c r="Y9" s="20">
        <f t="shared" si="3"/>
        <v>194</v>
      </c>
      <c r="Z9" s="20">
        <v>74</v>
      </c>
      <c r="AA9" s="20">
        <v>69</v>
      </c>
      <c r="AB9" s="20">
        <v>57</v>
      </c>
      <c r="AC9" s="20">
        <v>49</v>
      </c>
      <c r="AD9" s="20">
        <v>44</v>
      </c>
      <c r="AE9" s="20">
        <v>22</v>
      </c>
      <c r="AF9" s="20">
        <v>115</v>
      </c>
      <c r="AG9" s="20">
        <v>315</v>
      </c>
    </row>
    <row r="10" spans="1:33" ht="17.5" x14ac:dyDescent="0.25">
      <c r="A10" s="19" t="s">
        <v>332</v>
      </c>
      <c r="B10" s="20">
        <v>72</v>
      </c>
      <c r="C10" s="20">
        <v>66</v>
      </c>
      <c r="D10" s="20">
        <v>69</v>
      </c>
      <c r="E10" s="20">
        <v>28</v>
      </c>
      <c r="F10" s="20">
        <v>40</v>
      </c>
      <c r="G10" s="20">
        <v>12</v>
      </c>
      <c r="H10" s="20">
        <f t="shared" si="0"/>
        <v>80</v>
      </c>
      <c r="I10" s="20">
        <f t="shared" si="1"/>
        <v>287</v>
      </c>
      <c r="J10" s="20"/>
      <c r="K10" s="20"/>
      <c r="L10" s="20"/>
      <c r="M10" s="20"/>
      <c r="N10" s="20"/>
      <c r="O10" s="20"/>
      <c r="P10" s="20"/>
      <c r="Q10" s="27"/>
      <c r="R10" s="20">
        <v>72</v>
      </c>
      <c r="S10" s="20">
        <v>60</v>
      </c>
      <c r="T10" s="27">
        <v>67</v>
      </c>
      <c r="U10" s="20">
        <v>38</v>
      </c>
      <c r="V10" s="20">
        <v>21</v>
      </c>
      <c r="W10" s="20">
        <v>16</v>
      </c>
      <c r="X10" s="20">
        <f t="shared" si="2"/>
        <v>75</v>
      </c>
      <c r="Y10" s="20">
        <f t="shared" si="3"/>
        <v>274</v>
      </c>
      <c r="Z10" s="20">
        <v>88</v>
      </c>
      <c r="AA10" s="20">
        <v>70</v>
      </c>
      <c r="AB10" s="20">
        <v>59</v>
      </c>
      <c r="AC10" s="20">
        <v>46</v>
      </c>
      <c r="AD10" s="20">
        <v>46</v>
      </c>
      <c r="AE10" s="20">
        <v>24</v>
      </c>
      <c r="AF10" s="20">
        <v>116</v>
      </c>
      <c r="AG10" s="20">
        <v>333</v>
      </c>
    </row>
    <row r="11" spans="1:33" ht="17.5" x14ac:dyDescent="0.25">
      <c r="A11" s="19" t="s">
        <v>333</v>
      </c>
      <c r="B11" s="20">
        <v>78</v>
      </c>
      <c r="C11" s="20">
        <v>78</v>
      </c>
      <c r="D11" s="20">
        <v>82</v>
      </c>
      <c r="E11" s="20">
        <v>42</v>
      </c>
      <c r="F11" s="20">
        <v>46</v>
      </c>
      <c r="G11" s="20">
        <v>30</v>
      </c>
      <c r="H11" s="20">
        <f t="shared" si="0"/>
        <v>118</v>
      </c>
      <c r="I11" s="20">
        <f t="shared" si="1"/>
        <v>356</v>
      </c>
      <c r="J11" s="20"/>
      <c r="K11" s="20"/>
      <c r="L11" s="20"/>
      <c r="M11" s="20"/>
      <c r="N11" s="20"/>
      <c r="O11" s="20"/>
      <c r="P11" s="20"/>
      <c r="Q11" s="27"/>
      <c r="R11" s="20">
        <v>78</v>
      </c>
      <c r="S11" s="20">
        <v>87</v>
      </c>
      <c r="T11" s="20">
        <v>73</v>
      </c>
      <c r="U11" s="20">
        <v>50</v>
      </c>
      <c r="V11" s="20">
        <v>28</v>
      </c>
      <c r="W11" s="20">
        <v>16</v>
      </c>
      <c r="X11" s="20">
        <f t="shared" si="2"/>
        <v>94</v>
      </c>
      <c r="Y11" s="20">
        <f t="shared" si="3"/>
        <v>332</v>
      </c>
      <c r="Z11" s="20">
        <v>82</v>
      </c>
      <c r="AA11" s="20">
        <v>77</v>
      </c>
      <c r="AB11" s="20">
        <v>70</v>
      </c>
      <c r="AC11" s="20">
        <v>50</v>
      </c>
      <c r="AD11" s="20">
        <v>48</v>
      </c>
      <c r="AE11" s="20">
        <v>30</v>
      </c>
      <c r="AF11" s="20">
        <v>128</v>
      </c>
      <c r="AG11" s="20">
        <v>334</v>
      </c>
    </row>
    <row r="12" spans="1:33" ht="17.5" x14ac:dyDescent="0.25">
      <c r="A12" s="19" t="s">
        <v>334</v>
      </c>
      <c r="B12" s="20">
        <v>90</v>
      </c>
      <c r="C12" s="20">
        <v>76</v>
      </c>
      <c r="D12" s="20">
        <v>74</v>
      </c>
      <c r="E12" s="20">
        <v>60</v>
      </c>
      <c r="F12" s="20">
        <v>48</v>
      </c>
      <c r="G12" s="20">
        <v>16</v>
      </c>
      <c r="H12" s="20">
        <f t="shared" si="0"/>
        <v>124</v>
      </c>
      <c r="I12" s="20">
        <f t="shared" si="1"/>
        <v>364</v>
      </c>
      <c r="J12" s="20">
        <v>82</v>
      </c>
      <c r="K12" s="20">
        <v>86</v>
      </c>
      <c r="L12" s="20">
        <v>78</v>
      </c>
      <c r="M12" s="20">
        <v>40</v>
      </c>
      <c r="N12" s="20">
        <v>23</v>
      </c>
      <c r="O12" s="20">
        <v>18</v>
      </c>
      <c r="P12" s="20">
        <f t="shared" si="4"/>
        <v>81</v>
      </c>
      <c r="Q12" s="20">
        <f t="shared" si="5"/>
        <v>327</v>
      </c>
      <c r="R12" s="20">
        <v>84</v>
      </c>
      <c r="S12" s="20">
        <v>60</v>
      </c>
      <c r="T12" s="20">
        <v>73</v>
      </c>
      <c r="U12" s="20">
        <v>46</v>
      </c>
      <c r="V12" s="20">
        <v>24</v>
      </c>
      <c r="W12" s="20">
        <v>30</v>
      </c>
      <c r="X12" s="20">
        <f t="shared" si="2"/>
        <v>100</v>
      </c>
      <c r="Y12" s="20">
        <f t="shared" si="3"/>
        <v>317</v>
      </c>
      <c r="Z12" s="20"/>
      <c r="AA12" s="20"/>
      <c r="AB12" s="20"/>
      <c r="AC12" s="20"/>
      <c r="AD12" s="20"/>
      <c r="AE12" s="20"/>
      <c r="AF12" s="20"/>
      <c r="AG12" s="27"/>
    </row>
    <row r="13" spans="1:33" ht="17.5" x14ac:dyDescent="0.25">
      <c r="A13" s="19" t="s">
        <v>335</v>
      </c>
      <c r="B13" s="20">
        <v>74</v>
      </c>
      <c r="C13" s="20">
        <v>88</v>
      </c>
      <c r="D13" s="20">
        <v>80</v>
      </c>
      <c r="E13" s="20">
        <v>24</v>
      </c>
      <c r="F13" s="20">
        <v>44</v>
      </c>
      <c r="G13" s="20">
        <v>20</v>
      </c>
      <c r="H13" s="20">
        <f t="shared" si="0"/>
        <v>88</v>
      </c>
      <c r="I13" s="20">
        <f t="shared" si="1"/>
        <v>330</v>
      </c>
      <c r="J13" s="20">
        <v>68</v>
      </c>
      <c r="K13" s="20">
        <v>83</v>
      </c>
      <c r="L13" s="20">
        <v>75</v>
      </c>
      <c r="M13" s="20">
        <v>38</v>
      </c>
      <c r="N13" s="20">
        <v>19</v>
      </c>
      <c r="O13" s="20">
        <v>12</v>
      </c>
      <c r="P13" s="20">
        <f t="shared" si="4"/>
        <v>69</v>
      </c>
      <c r="Q13" s="20">
        <f t="shared" si="5"/>
        <v>295</v>
      </c>
      <c r="R13" s="20">
        <v>80</v>
      </c>
      <c r="S13" s="20">
        <v>77</v>
      </c>
      <c r="T13" s="20">
        <v>86</v>
      </c>
      <c r="U13" s="20">
        <v>47</v>
      </c>
      <c r="V13" s="20">
        <v>28</v>
      </c>
      <c r="W13" s="20">
        <v>18</v>
      </c>
      <c r="X13" s="20">
        <f t="shared" si="2"/>
        <v>93</v>
      </c>
      <c r="Y13" s="20">
        <f t="shared" si="3"/>
        <v>336</v>
      </c>
      <c r="Z13" s="20">
        <v>72</v>
      </c>
      <c r="AA13" s="20">
        <v>78</v>
      </c>
      <c r="AB13" s="20">
        <v>74</v>
      </c>
      <c r="AC13" s="20">
        <v>36</v>
      </c>
      <c r="AD13" s="20">
        <v>36</v>
      </c>
      <c r="AE13" s="20">
        <v>18</v>
      </c>
      <c r="AF13" s="20">
        <v>90</v>
      </c>
      <c r="AG13" s="20">
        <v>314</v>
      </c>
    </row>
    <row r="14" spans="1:33" ht="17.5" x14ac:dyDescent="0.25">
      <c r="A14" s="19" t="s">
        <v>322</v>
      </c>
      <c r="B14" s="20"/>
      <c r="C14" s="20"/>
      <c r="D14" s="20"/>
      <c r="E14" s="20"/>
      <c r="F14" s="20"/>
      <c r="G14" s="20"/>
      <c r="H14" s="20"/>
      <c r="I14" s="20"/>
      <c r="J14" s="20">
        <v>72</v>
      </c>
      <c r="K14" s="20">
        <v>50</v>
      </c>
      <c r="L14" s="20">
        <v>88</v>
      </c>
      <c r="M14" s="20">
        <v>50</v>
      </c>
      <c r="N14" s="20">
        <v>19</v>
      </c>
      <c r="O14" s="20">
        <v>20</v>
      </c>
      <c r="P14" s="20">
        <f t="shared" si="4"/>
        <v>89</v>
      </c>
      <c r="Q14" s="20">
        <f t="shared" si="5"/>
        <v>299</v>
      </c>
      <c r="R14" s="20">
        <v>80</v>
      </c>
      <c r="S14" s="20">
        <v>57</v>
      </c>
      <c r="T14" s="20">
        <v>88</v>
      </c>
      <c r="U14" s="20">
        <v>45</v>
      </c>
      <c r="V14" s="20">
        <v>26</v>
      </c>
      <c r="W14" s="20">
        <v>24</v>
      </c>
      <c r="X14" s="20">
        <f t="shared" si="2"/>
        <v>95</v>
      </c>
      <c r="Y14" s="20">
        <f t="shared" si="3"/>
        <v>320</v>
      </c>
      <c r="Z14" s="20"/>
      <c r="AA14" s="20"/>
      <c r="AB14" s="20"/>
      <c r="AC14" s="20"/>
      <c r="AD14" s="20"/>
      <c r="AE14" s="20"/>
      <c r="AF14" s="20"/>
      <c r="AG14" s="27"/>
    </row>
    <row r="15" spans="1:33" ht="17.5" x14ac:dyDescent="0.25">
      <c r="A15" s="19" t="s">
        <v>336</v>
      </c>
      <c r="B15" s="69"/>
      <c r="C15" s="69"/>
      <c r="D15" s="69"/>
      <c r="E15" s="69"/>
      <c r="F15" s="69"/>
      <c r="G15" s="69"/>
      <c r="H15" s="69"/>
      <c r="I15" s="69"/>
      <c r="J15" s="20">
        <v>62</v>
      </c>
      <c r="K15" s="20">
        <v>48</v>
      </c>
      <c r="L15" s="20">
        <v>75</v>
      </c>
      <c r="M15" s="20">
        <v>50</v>
      </c>
      <c r="N15" s="20">
        <v>22</v>
      </c>
      <c r="O15" s="20">
        <v>14</v>
      </c>
      <c r="P15" s="20">
        <f t="shared" si="4"/>
        <v>86</v>
      </c>
      <c r="Q15" s="20">
        <f t="shared" si="5"/>
        <v>271</v>
      </c>
      <c r="R15" s="20">
        <v>66</v>
      </c>
      <c r="S15" s="20">
        <v>60</v>
      </c>
      <c r="T15" s="20">
        <v>73</v>
      </c>
      <c r="U15" s="20">
        <v>28</v>
      </c>
      <c r="V15" s="20">
        <v>22</v>
      </c>
      <c r="W15" s="20">
        <v>18</v>
      </c>
      <c r="X15" s="20">
        <f t="shared" si="2"/>
        <v>68</v>
      </c>
      <c r="Y15" s="20">
        <f t="shared" si="3"/>
        <v>267</v>
      </c>
      <c r="Z15" s="20">
        <v>68</v>
      </c>
      <c r="AA15" s="20">
        <v>60</v>
      </c>
      <c r="AB15" s="20">
        <v>68</v>
      </c>
      <c r="AC15" s="20">
        <v>45</v>
      </c>
      <c r="AD15" s="20">
        <v>34</v>
      </c>
      <c r="AE15" s="20">
        <v>18</v>
      </c>
      <c r="AF15" s="20">
        <v>97</v>
      </c>
      <c r="AG15" s="20">
        <v>293</v>
      </c>
    </row>
    <row r="16" spans="1:33" ht="17.5" x14ac:dyDescent="0.25">
      <c r="A16" s="19" t="s">
        <v>337</v>
      </c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20">
        <v>80</v>
      </c>
      <c r="AA16" s="20">
        <v>36</v>
      </c>
      <c r="AB16" s="20">
        <v>68</v>
      </c>
      <c r="AC16" s="20">
        <v>37</v>
      </c>
      <c r="AD16" s="20">
        <v>30</v>
      </c>
      <c r="AE16" s="20">
        <v>8</v>
      </c>
      <c r="AF16" s="20">
        <v>75</v>
      </c>
      <c r="AG16" s="20">
        <v>259</v>
      </c>
    </row>
    <row r="17" spans="1:33" ht="17.5" x14ac:dyDescent="0.25">
      <c r="A17" s="19" t="s">
        <v>338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20">
        <v>80</v>
      </c>
      <c r="AA17" s="20">
        <v>72</v>
      </c>
      <c r="AB17" s="20">
        <v>48</v>
      </c>
      <c r="AC17" s="20">
        <v>24</v>
      </c>
      <c r="AD17" s="20">
        <v>40</v>
      </c>
      <c r="AE17" s="20">
        <v>18</v>
      </c>
      <c r="AF17" s="20">
        <v>82</v>
      </c>
      <c r="AG17" s="20">
        <v>282</v>
      </c>
    </row>
    <row r="18" spans="1:33" ht="17.5" x14ac:dyDescent="0.25">
      <c r="A18" s="19" t="s">
        <v>339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20">
        <v>80</v>
      </c>
      <c r="AA18" s="20">
        <v>64</v>
      </c>
      <c r="AB18" s="20">
        <v>46</v>
      </c>
      <c r="AC18" s="20">
        <v>42</v>
      </c>
      <c r="AD18" s="20">
        <v>32</v>
      </c>
      <c r="AE18" s="20">
        <v>18</v>
      </c>
      <c r="AF18" s="20">
        <v>92</v>
      </c>
      <c r="AG18" s="20">
        <v>282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J1:Q1"/>
    <mergeCell ref="Z1:AG1"/>
    <mergeCell ref="B1:I1"/>
    <mergeCell ref="R1:Y1"/>
  </mergeCells>
  <phoneticPr fontId="15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46"/>
  <sheetViews>
    <sheetView zoomScale="70" zoomScaleNormal="70" workbookViewId="0">
      <selection activeCell="Y2" sqref="Y2:AA2"/>
    </sheetView>
  </sheetViews>
  <sheetFormatPr defaultColWidth="9.6328125" defaultRowHeight="14" x14ac:dyDescent="0.25"/>
  <cols>
    <col min="1" max="1" width="7.81640625" bestFit="1" customWidth="1"/>
    <col min="2" max="5" width="9.26953125" bestFit="1" customWidth="1"/>
    <col min="6" max="7" width="7.26953125" bestFit="1" customWidth="1"/>
    <col min="8" max="8" width="8.26953125" bestFit="1" customWidth="1"/>
    <col min="9" max="12" width="9.26953125" bestFit="1" customWidth="1"/>
    <col min="13" max="14" width="7.26953125" bestFit="1" customWidth="1"/>
    <col min="15" max="15" width="8.26953125" bestFit="1" customWidth="1"/>
    <col min="16" max="19" width="9.26953125" bestFit="1" customWidth="1"/>
    <col min="20" max="21" width="7.26953125" bestFit="1" customWidth="1"/>
    <col min="22" max="22" width="8.26953125" bestFit="1" customWidth="1"/>
    <col min="23" max="24" width="6.26953125" bestFit="1" customWidth="1"/>
    <col min="25" max="25" width="9.26953125" bestFit="1" customWidth="1"/>
    <col min="26" max="27" width="6.26953125" bestFit="1" customWidth="1"/>
    <col min="28" max="28" width="9.26953125" bestFit="1" customWidth="1"/>
    <col min="29" max="29" width="7.26953125" bestFit="1" customWidth="1"/>
  </cols>
  <sheetData>
    <row r="1" spans="1:29" ht="17.5" x14ac:dyDescent="0.25">
      <c r="A1" s="11"/>
      <c r="B1" s="100" t="s">
        <v>0</v>
      </c>
      <c r="C1" s="100"/>
      <c r="D1" s="100"/>
      <c r="E1" s="100"/>
      <c r="F1" s="100"/>
      <c r="G1" s="100"/>
      <c r="H1" s="100"/>
      <c r="I1" s="100" t="s">
        <v>1</v>
      </c>
      <c r="J1" s="100"/>
      <c r="K1" s="100"/>
      <c r="L1" s="100"/>
      <c r="M1" s="100"/>
      <c r="N1" s="100"/>
      <c r="O1" s="100"/>
      <c r="P1" s="100" t="s">
        <v>2</v>
      </c>
      <c r="Q1" s="100"/>
      <c r="R1" s="100"/>
      <c r="S1" s="100"/>
      <c r="T1" s="100"/>
      <c r="U1" s="100"/>
      <c r="V1" s="100"/>
      <c r="W1" s="100" t="s">
        <v>38</v>
      </c>
      <c r="X1" s="100"/>
      <c r="Y1" s="100"/>
      <c r="Z1" s="100"/>
      <c r="AA1" s="100"/>
      <c r="AB1" s="100"/>
      <c r="AC1" s="100"/>
    </row>
    <row r="2" spans="1:29" ht="17.5" x14ac:dyDescent="0.25">
      <c r="A2" s="70" t="s">
        <v>527</v>
      </c>
      <c r="B2" s="77" t="s">
        <v>528</v>
      </c>
      <c r="C2" s="12" t="s">
        <v>227</v>
      </c>
      <c r="D2" s="12" t="s">
        <v>39</v>
      </c>
      <c r="E2" s="12" t="s">
        <v>8</v>
      </c>
      <c r="F2" s="12" t="s">
        <v>3</v>
      </c>
      <c r="G2" s="12" t="s">
        <v>4</v>
      </c>
      <c r="H2" s="12" t="s">
        <v>9</v>
      </c>
      <c r="I2" s="77" t="s">
        <v>528</v>
      </c>
      <c r="J2" s="12" t="s">
        <v>227</v>
      </c>
      <c r="K2" s="12" t="s">
        <v>39</v>
      </c>
      <c r="L2" s="12" t="s">
        <v>8</v>
      </c>
      <c r="M2" s="12" t="s">
        <v>3</v>
      </c>
      <c r="N2" s="12" t="s">
        <v>4</v>
      </c>
      <c r="O2" s="12" t="s">
        <v>9</v>
      </c>
      <c r="P2" s="77" t="s">
        <v>528</v>
      </c>
      <c r="Q2" s="12" t="s">
        <v>227</v>
      </c>
      <c r="R2" s="12" t="s">
        <v>39</v>
      </c>
      <c r="S2" s="12" t="s">
        <v>8</v>
      </c>
      <c r="T2" s="12" t="s">
        <v>3</v>
      </c>
      <c r="U2" s="12" t="s">
        <v>4</v>
      </c>
      <c r="V2" s="12" t="s">
        <v>9</v>
      </c>
      <c r="W2" s="16" t="s">
        <v>3</v>
      </c>
      <c r="X2" s="16" t="s">
        <v>4</v>
      </c>
      <c r="Y2" s="77" t="s">
        <v>528</v>
      </c>
      <c r="Z2" s="60" t="s">
        <v>227</v>
      </c>
      <c r="AA2" s="60" t="s">
        <v>39</v>
      </c>
      <c r="AB2" s="16" t="s">
        <v>8</v>
      </c>
      <c r="AC2" s="16" t="s">
        <v>9</v>
      </c>
    </row>
    <row r="3" spans="1:29" x14ac:dyDescent="0.25">
      <c r="A3" s="14" t="s">
        <v>340</v>
      </c>
      <c r="B3" s="2">
        <v>74</v>
      </c>
      <c r="C3" s="2">
        <v>48</v>
      </c>
      <c r="D3" s="2">
        <v>27</v>
      </c>
      <c r="E3" s="2">
        <v>75</v>
      </c>
      <c r="F3" s="2">
        <v>80</v>
      </c>
      <c r="G3" s="2">
        <v>68</v>
      </c>
      <c r="H3" s="2">
        <v>297</v>
      </c>
      <c r="I3" s="2">
        <v>41</v>
      </c>
      <c r="J3" s="2">
        <v>29</v>
      </c>
      <c r="K3" s="2">
        <v>11</v>
      </c>
      <c r="L3" s="2">
        <v>40</v>
      </c>
      <c r="M3" s="2">
        <v>64</v>
      </c>
      <c r="N3" s="2">
        <v>75</v>
      </c>
      <c r="O3" s="2">
        <f>SUM(I3,L3,M3,N3)</f>
        <v>220</v>
      </c>
      <c r="P3" s="2">
        <v>49</v>
      </c>
      <c r="Q3" s="2">
        <v>21</v>
      </c>
      <c r="R3" s="2">
        <v>13</v>
      </c>
      <c r="S3" s="2">
        <v>34</v>
      </c>
      <c r="T3" s="2">
        <v>88</v>
      </c>
      <c r="U3" s="2">
        <v>47</v>
      </c>
      <c r="V3" s="2">
        <f>SUM(P3:R3,T3,U3)</f>
        <v>218</v>
      </c>
      <c r="W3" s="3">
        <v>84</v>
      </c>
      <c r="X3" s="3">
        <v>66</v>
      </c>
      <c r="Y3" s="3">
        <v>48</v>
      </c>
      <c r="Z3" s="3">
        <v>17</v>
      </c>
      <c r="AA3" s="3">
        <v>35</v>
      </c>
      <c r="AB3" s="3">
        <v>52</v>
      </c>
      <c r="AC3" s="3">
        <f>W3+X3+Y3+AB3</f>
        <v>250</v>
      </c>
    </row>
    <row r="4" spans="1:29" x14ac:dyDescent="0.25">
      <c r="A4" s="14" t="s">
        <v>341</v>
      </c>
      <c r="B4" s="2">
        <v>32</v>
      </c>
      <c r="C4" s="2">
        <v>41.5</v>
      </c>
      <c r="D4" s="2">
        <v>35</v>
      </c>
      <c r="E4" s="2">
        <v>76.5</v>
      </c>
      <c r="F4" s="2">
        <v>78</v>
      </c>
      <c r="G4" s="2">
        <v>77</v>
      </c>
      <c r="H4" s="2">
        <v>263.5</v>
      </c>
      <c r="I4" s="2">
        <v>51</v>
      </c>
      <c r="J4" s="2">
        <v>26</v>
      </c>
      <c r="K4" s="2">
        <v>23</v>
      </c>
      <c r="L4" s="2">
        <v>49</v>
      </c>
      <c r="M4" s="2">
        <v>60</v>
      </c>
      <c r="N4" s="2">
        <v>44</v>
      </c>
      <c r="O4" s="2">
        <f t="shared" ref="O4:O46" si="0">SUM(I4,L4,M4,N4)</f>
        <v>204</v>
      </c>
      <c r="P4" s="2">
        <v>52</v>
      </c>
      <c r="Q4" s="2">
        <v>43</v>
      </c>
      <c r="R4" s="2">
        <v>23</v>
      </c>
      <c r="S4" s="2">
        <v>66</v>
      </c>
      <c r="T4" s="2">
        <v>68</v>
      </c>
      <c r="U4" s="2">
        <v>31</v>
      </c>
      <c r="V4" s="2">
        <f t="shared" ref="V4:V46" si="1">SUM(P4:R4,T4,U4)</f>
        <v>217</v>
      </c>
      <c r="W4" s="3">
        <v>70</v>
      </c>
      <c r="X4" s="3">
        <v>51</v>
      </c>
      <c r="Y4" s="3">
        <v>47</v>
      </c>
      <c r="Z4" s="16"/>
      <c r="AA4" s="16"/>
      <c r="AB4" s="16"/>
      <c r="AC4" s="16"/>
    </row>
    <row r="5" spans="1:29" x14ac:dyDescent="0.25">
      <c r="A5" s="14" t="s">
        <v>342</v>
      </c>
      <c r="B5" s="2">
        <v>65</v>
      </c>
      <c r="C5" s="2">
        <v>66.5</v>
      </c>
      <c r="D5" s="2">
        <v>38</v>
      </c>
      <c r="E5" s="2">
        <v>104.5</v>
      </c>
      <c r="F5" s="2">
        <v>88</v>
      </c>
      <c r="G5" s="2">
        <v>84</v>
      </c>
      <c r="H5" s="2">
        <v>341.5</v>
      </c>
      <c r="I5" s="2">
        <v>52</v>
      </c>
      <c r="J5" s="2">
        <v>32</v>
      </c>
      <c r="K5" s="2">
        <v>30</v>
      </c>
      <c r="L5" s="2">
        <v>62</v>
      </c>
      <c r="M5" s="2">
        <v>80</v>
      </c>
      <c r="N5" s="2">
        <v>73</v>
      </c>
      <c r="O5" s="2">
        <f t="shared" si="0"/>
        <v>267</v>
      </c>
      <c r="P5" s="2">
        <v>42</v>
      </c>
      <c r="Q5" s="2">
        <v>40</v>
      </c>
      <c r="R5" s="2">
        <v>18</v>
      </c>
      <c r="S5" s="2">
        <v>58</v>
      </c>
      <c r="T5" s="2">
        <v>76</v>
      </c>
      <c r="U5" s="2">
        <v>76</v>
      </c>
      <c r="V5" s="2">
        <f t="shared" si="1"/>
        <v>252</v>
      </c>
      <c r="W5" s="3">
        <v>82</v>
      </c>
      <c r="X5" s="3">
        <v>88</v>
      </c>
      <c r="Y5" s="3">
        <v>67</v>
      </c>
      <c r="Z5" s="3">
        <v>19</v>
      </c>
      <c r="AA5" s="3">
        <v>39</v>
      </c>
      <c r="AB5" s="3">
        <v>58</v>
      </c>
      <c r="AC5" s="3">
        <f t="shared" ref="AC5:AC29" si="2">W5+X5+Y5+AB5</f>
        <v>295</v>
      </c>
    </row>
    <row r="6" spans="1:29" x14ac:dyDescent="0.25">
      <c r="A6" s="14" t="s">
        <v>343</v>
      </c>
      <c r="B6" s="2">
        <v>44</v>
      </c>
      <c r="C6" s="2">
        <v>67.5</v>
      </c>
      <c r="D6" s="2">
        <v>35</v>
      </c>
      <c r="E6" s="2">
        <v>102.5</v>
      </c>
      <c r="F6" s="2">
        <v>72</v>
      </c>
      <c r="G6" s="2">
        <v>94</v>
      </c>
      <c r="H6" s="2">
        <v>312.5</v>
      </c>
      <c r="I6" s="12"/>
      <c r="J6" s="12"/>
      <c r="K6" s="12"/>
      <c r="L6" s="12"/>
      <c r="M6" s="12"/>
      <c r="N6" s="12"/>
      <c r="O6" s="12"/>
      <c r="P6" s="2">
        <v>50</v>
      </c>
      <c r="Q6" s="2">
        <v>40</v>
      </c>
      <c r="R6" s="2">
        <v>23</v>
      </c>
      <c r="S6" s="2">
        <v>63</v>
      </c>
      <c r="T6" s="2">
        <v>72</v>
      </c>
      <c r="U6" s="2">
        <v>89</v>
      </c>
      <c r="V6" s="2">
        <f t="shared" si="1"/>
        <v>274</v>
      </c>
      <c r="W6" s="3">
        <v>74</v>
      </c>
      <c r="X6" s="3">
        <v>87</v>
      </c>
      <c r="Y6" s="3">
        <v>52</v>
      </c>
      <c r="Z6" s="3">
        <v>14</v>
      </c>
      <c r="AA6" s="3">
        <v>61</v>
      </c>
      <c r="AB6" s="3">
        <v>75</v>
      </c>
      <c r="AC6" s="3">
        <f t="shared" si="2"/>
        <v>288</v>
      </c>
    </row>
    <row r="7" spans="1:29" x14ac:dyDescent="0.25">
      <c r="A7" s="21" t="s">
        <v>344</v>
      </c>
      <c r="B7" s="2">
        <v>40</v>
      </c>
      <c r="C7" s="2">
        <v>40.5</v>
      </c>
      <c r="D7" s="2">
        <v>36</v>
      </c>
      <c r="E7" s="2">
        <v>76.5</v>
      </c>
      <c r="F7" s="2">
        <v>64</v>
      </c>
      <c r="G7" s="2">
        <v>71</v>
      </c>
      <c r="H7" s="2">
        <v>251.5</v>
      </c>
      <c r="I7" s="2">
        <v>62</v>
      </c>
      <c r="J7" s="2">
        <v>24</v>
      </c>
      <c r="K7" s="2">
        <v>10</v>
      </c>
      <c r="L7" s="2">
        <v>34</v>
      </c>
      <c r="M7" s="2">
        <v>56</v>
      </c>
      <c r="N7" s="2">
        <v>62</v>
      </c>
      <c r="O7" s="2">
        <f t="shared" si="0"/>
        <v>214</v>
      </c>
      <c r="P7" s="2">
        <v>54</v>
      </c>
      <c r="Q7" s="2">
        <v>45</v>
      </c>
      <c r="R7" s="2">
        <v>20</v>
      </c>
      <c r="S7" s="2">
        <v>65</v>
      </c>
      <c r="T7" s="2">
        <v>62</v>
      </c>
      <c r="U7" s="2">
        <v>39</v>
      </c>
      <c r="V7" s="2">
        <f t="shared" si="1"/>
        <v>220</v>
      </c>
      <c r="W7" s="3">
        <v>58</v>
      </c>
      <c r="X7" s="3">
        <v>41</v>
      </c>
      <c r="Y7" s="3">
        <v>38</v>
      </c>
      <c r="Z7" s="3">
        <v>12</v>
      </c>
      <c r="AA7" s="3">
        <v>31</v>
      </c>
      <c r="AB7" s="3">
        <v>43</v>
      </c>
      <c r="AC7" s="3">
        <f t="shared" si="2"/>
        <v>180</v>
      </c>
    </row>
    <row r="8" spans="1:29" x14ac:dyDescent="0.25">
      <c r="A8" s="14" t="s">
        <v>345</v>
      </c>
      <c r="B8" s="2">
        <v>76</v>
      </c>
      <c r="C8" s="2">
        <v>70.5</v>
      </c>
      <c r="D8" s="2">
        <v>44</v>
      </c>
      <c r="E8" s="2">
        <v>114.5</v>
      </c>
      <c r="F8" s="2">
        <v>74</v>
      </c>
      <c r="G8" s="2">
        <v>95</v>
      </c>
      <c r="H8" s="2">
        <v>359.5</v>
      </c>
      <c r="I8" s="2">
        <v>67</v>
      </c>
      <c r="J8" s="2">
        <v>32</v>
      </c>
      <c r="K8" s="2">
        <v>32</v>
      </c>
      <c r="L8" s="2">
        <v>64</v>
      </c>
      <c r="M8" s="2">
        <v>82</v>
      </c>
      <c r="N8" s="2">
        <v>84</v>
      </c>
      <c r="O8" s="2">
        <f t="shared" si="0"/>
        <v>297</v>
      </c>
      <c r="P8" s="2">
        <v>67</v>
      </c>
      <c r="Q8" s="2">
        <v>68</v>
      </c>
      <c r="R8" s="2">
        <v>20</v>
      </c>
      <c r="S8" s="2">
        <v>88</v>
      </c>
      <c r="T8" s="2">
        <v>90</v>
      </c>
      <c r="U8" s="2">
        <v>90</v>
      </c>
      <c r="V8" s="2">
        <f t="shared" si="1"/>
        <v>335</v>
      </c>
      <c r="W8" s="3">
        <v>92</v>
      </c>
      <c r="X8" s="3">
        <v>93</v>
      </c>
      <c r="Y8" s="16"/>
      <c r="Z8" s="16"/>
      <c r="AA8" s="16"/>
      <c r="AB8" s="16"/>
      <c r="AC8" s="16"/>
    </row>
    <row r="9" spans="1:29" x14ac:dyDescent="0.25">
      <c r="A9" s="14" t="s">
        <v>346</v>
      </c>
      <c r="B9" s="2">
        <v>59</v>
      </c>
      <c r="C9" s="2">
        <v>38.5</v>
      </c>
      <c r="D9" s="2">
        <v>34</v>
      </c>
      <c r="E9" s="2">
        <v>72.5</v>
      </c>
      <c r="F9" s="2">
        <v>72</v>
      </c>
      <c r="G9" s="2">
        <v>87</v>
      </c>
      <c r="H9" s="2">
        <v>290.5</v>
      </c>
      <c r="I9" s="2">
        <v>41</v>
      </c>
      <c r="J9" s="2">
        <v>37</v>
      </c>
      <c r="K9" s="2">
        <v>22</v>
      </c>
      <c r="L9" s="2">
        <v>59</v>
      </c>
      <c r="M9" s="2">
        <v>72</v>
      </c>
      <c r="N9" s="2">
        <v>78</v>
      </c>
      <c r="O9" s="2">
        <f t="shared" si="0"/>
        <v>250</v>
      </c>
      <c r="P9" s="12"/>
      <c r="Q9" s="12"/>
      <c r="R9" s="12"/>
      <c r="S9" s="12"/>
      <c r="T9" s="12"/>
      <c r="U9" s="12"/>
      <c r="V9" s="12"/>
      <c r="W9" s="3">
        <v>72</v>
      </c>
      <c r="X9" s="3">
        <v>45</v>
      </c>
      <c r="Y9" s="3">
        <v>53</v>
      </c>
      <c r="Z9" s="3">
        <v>21</v>
      </c>
      <c r="AA9" s="3">
        <v>38</v>
      </c>
      <c r="AB9" s="3">
        <v>59</v>
      </c>
      <c r="AC9" s="3">
        <f t="shared" si="2"/>
        <v>229</v>
      </c>
    </row>
    <row r="10" spans="1:29" x14ac:dyDescent="0.25">
      <c r="A10" s="14" t="s">
        <v>347</v>
      </c>
      <c r="B10" s="2">
        <v>48</v>
      </c>
      <c r="C10" s="2">
        <v>68.5</v>
      </c>
      <c r="D10" s="2">
        <v>38</v>
      </c>
      <c r="E10" s="2">
        <v>106.5</v>
      </c>
      <c r="F10" s="2">
        <v>74</v>
      </c>
      <c r="G10" s="2">
        <v>76</v>
      </c>
      <c r="H10" s="2">
        <v>304.5</v>
      </c>
      <c r="I10" s="2">
        <v>54</v>
      </c>
      <c r="J10" s="2">
        <v>60</v>
      </c>
      <c r="K10" s="2">
        <v>32</v>
      </c>
      <c r="L10" s="2">
        <v>92</v>
      </c>
      <c r="M10" s="2">
        <v>66</v>
      </c>
      <c r="N10" s="2">
        <v>82</v>
      </c>
      <c r="O10" s="2">
        <f t="shared" si="0"/>
        <v>294</v>
      </c>
      <c r="P10" s="2">
        <v>56</v>
      </c>
      <c r="Q10" s="2">
        <v>62</v>
      </c>
      <c r="R10" s="2">
        <v>23</v>
      </c>
      <c r="S10" s="2">
        <v>85</v>
      </c>
      <c r="T10" s="2">
        <v>74</v>
      </c>
      <c r="U10" s="2">
        <v>81</v>
      </c>
      <c r="V10" s="2">
        <f t="shared" si="1"/>
        <v>296</v>
      </c>
      <c r="W10" s="3">
        <v>88</v>
      </c>
      <c r="X10" s="3">
        <v>81</v>
      </c>
      <c r="Y10" s="3">
        <v>58</v>
      </c>
      <c r="Z10" s="3">
        <v>14</v>
      </c>
      <c r="AA10" s="3">
        <v>55</v>
      </c>
      <c r="AB10" s="3">
        <v>69</v>
      </c>
      <c r="AC10" s="3">
        <f t="shared" si="2"/>
        <v>296</v>
      </c>
    </row>
    <row r="11" spans="1:29" x14ac:dyDescent="0.25">
      <c r="A11" s="14" t="s">
        <v>348</v>
      </c>
      <c r="B11" s="2">
        <v>70</v>
      </c>
      <c r="C11" s="2">
        <v>81</v>
      </c>
      <c r="D11" s="2">
        <v>44</v>
      </c>
      <c r="E11" s="2">
        <v>125</v>
      </c>
      <c r="F11" s="2">
        <v>88</v>
      </c>
      <c r="G11" s="2">
        <v>97</v>
      </c>
      <c r="H11" s="2">
        <v>380</v>
      </c>
      <c r="I11" s="2">
        <v>72</v>
      </c>
      <c r="J11" s="2">
        <v>73</v>
      </c>
      <c r="K11" s="2">
        <v>48</v>
      </c>
      <c r="L11" s="2">
        <v>121</v>
      </c>
      <c r="M11" s="2">
        <v>82</v>
      </c>
      <c r="N11" s="2">
        <v>100</v>
      </c>
      <c r="O11" s="2">
        <f t="shared" si="0"/>
        <v>375</v>
      </c>
      <c r="P11" s="2">
        <v>89</v>
      </c>
      <c r="Q11" s="2">
        <v>62</v>
      </c>
      <c r="R11" s="2">
        <v>34</v>
      </c>
      <c r="S11" s="2">
        <v>96</v>
      </c>
      <c r="T11" s="2">
        <v>84</v>
      </c>
      <c r="U11" s="2">
        <v>94</v>
      </c>
      <c r="V11" s="2">
        <f t="shared" si="1"/>
        <v>363</v>
      </c>
      <c r="W11" s="3">
        <v>92</v>
      </c>
      <c r="X11" s="3">
        <v>99</v>
      </c>
      <c r="Y11" s="3">
        <v>82</v>
      </c>
      <c r="Z11" s="3">
        <v>44</v>
      </c>
      <c r="AA11" s="3">
        <v>77</v>
      </c>
      <c r="AB11" s="3">
        <v>121</v>
      </c>
      <c r="AC11" s="3">
        <f t="shared" si="2"/>
        <v>394</v>
      </c>
    </row>
    <row r="12" spans="1:29" x14ac:dyDescent="0.25">
      <c r="A12" s="14" t="s">
        <v>349</v>
      </c>
      <c r="B12" s="2">
        <v>68</v>
      </c>
      <c r="C12" s="2">
        <v>81</v>
      </c>
      <c r="D12" s="2">
        <v>42</v>
      </c>
      <c r="E12" s="2">
        <v>123</v>
      </c>
      <c r="F12" s="2">
        <v>90</v>
      </c>
      <c r="G12" s="2">
        <v>97</v>
      </c>
      <c r="H12" s="2">
        <v>378</v>
      </c>
      <c r="I12" s="2">
        <v>71</v>
      </c>
      <c r="J12" s="2">
        <v>70</v>
      </c>
      <c r="K12" s="2">
        <v>50</v>
      </c>
      <c r="L12" s="2">
        <v>120</v>
      </c>
      <c r="M12" s="2">
        <v>80</v>
      </c>
      <c r="N12" s="2">
        <v>100</v>
      </c>
      <c r="O12" s="2">
        <f t="shared" si="0"/>
        <v>371</v>
      </c>
      <c r="P12" s="2">
        <v>79</v>
      </c>
      <c r="Q12" s="2">
        <v>70</v>
      </c>
      <c r="R12" s="2">
        <v>36</v>
      </c>
      <c r="S12" s="2">
        <v>106</v>
      </c>
      <c r="T12" s="2">
        <v>82</v>
      </c>
      <c r="U12" s="2">
        <v>98</v>
      </c>
      <c r="V12" s="2">
        <f t="shared" si="1"/>
        <v>365</v>
      </c>
      <c r="W12" s="3">
        <v>90</v>
      </c>
      <c r="X12" s="3">
        <v>100</v>
      </c>
      <c r="Y12" s="3">
        <v>80</v>
      </c>
      <c r="Z12" s="3">
        <v>45</v>
      </c>
      <c r="AA12" s="3">
        <v>81</v>
      </c>
      <c r="AB12" s="3">
        <v>126</v>
      </c>
      <c r="AC12" s="3">
        <f t="shared" si="2"/>
        <v>396</v>
      </c>
    </row>
    <row r="13" spans="1:29" x14ac:dyDescent="0.25">
      <c r="A13" s="14" t="s">
        <v>350</v>
      </c>
      <c r="B13" s="2">
        <v>42</v>
      </c>
      <c r="C13" s="2">
        <v>35.5</v>
      </c>
      <c r="D13" s="2">
        <v>34</v>
      </c>
      <c r="E13" s="2">
        <v>69.5</v>
      </c>
      <c r="F13" s="2">
        <v>74</v>
      </c>
      <c r="G13" s="2">
        <v>49</v>
      </c>
      <c r="H13" s="2">
        <v>234.5</v>
      </c>
      <c r="I13" s="2">
        <v>49</v>
      </c>
      <c r="J13" s="2">
        <v>31</v>
      </c>
      <c r="K13" s="2">
        <v>20</v>
      </c>
      <c r="L13" s="2">
        <v>51</v>
      </c>
      <c r="M13" s="2">
        <v>78</v>
      </c>
      <c r="N13" s="2">
        <v>32</v>
      </c>
      <c r="O13" s="2">
        <f t="shared" si="0"/>
        <v>210</v>
      </c>
      <c r="P13" s="2">
        <v>58</v>
      </c>
      <c r="Q13" s="2">
        <v>31</v>
      </c>
      <c r="R13" s="2">
        <v>15</v>
      </c>
      <c r="S13" s="2">
        <v>46</v>
      </c>
      <c r="T13" s="2">
        <v>70</v>
      </c>
      <c r="U13" s="2">
        <v>27</v>
      </c>
      <c r="V13" s="2">
        <f t="shared" si="1"/>
        <v>201</v>
      </c>
      <c r="W13" s="3">
        <v>84</v>
      </c>
      <c r="X13" s="3">
        <v>65</v>
      </c>
      <c r="Y13" s="3">
        <v>56</v>
      </c>
      <c r="Z13" s="3">
        <v>20</v>
      </c>
      <c r="AA13" s="3">
        <v>20</v>
      </c>
      <c r="AB13" s="3">
        <v>40</v>
      </c>
      <c r="AC13" s="3">
        <f t="shared" si="2"/>
        <v>245</v>
      </c>
    </row>
    <row r="14" spans="1:29" x14ac:dyDescent="0.25">
      <c r="A14" s="14" t="s">
        <v>351</v>
      </c>
      <c r="B14" s="2">
        <v>66</v>
      </c>
      <c r="C14" s="2">
        <v>51</v>
      </c>
      <c r="D14" s="2">
        <v>41</v>
      </c>
      <c r="E14" s="2">
        <v>92</v>
      </c>
      <c r="F14" s="2">
        <v>80</v>
      </c>
      <c r="G14" s="2">
        <v>93</v>
      </c>
      <c r="H14" s="2">
        <v>331</v>
      </c>
      <c r="I14" s="2">
        <v>69</v>
      </c>
      <c r="J14" s="2">
        <v>72</v>
      </c>
      <c r="K14" s="2">
        <v>41</v>
      </c>
      <c r="L14" s="2">
        <v>113</v>
      </c>
      <c r="M14" s="2">
        <v>70</v>
      </c>
      <c r="N14" s="2">
        <v>92</v>
      </c>
      <c r="O14" s="2">
        <f t="shared" si="0"/>
        <v>344</v>
      </c>
      <c r="P14" s="2">
        <v>80</v>
      </c>
      <c r="Q14" s="2">
        <v>63</v>
      </c>
      <c r="R14" s="2">
        <v>34</v>
      </c>
      <c r="S14" s="2">
        <v>97</v>
      </c>
      <c r="T14" s="2">
        <v>92</v>
      </c>
      <c r="U14" s="2">
        <v>88</v>
      </c>
      <c r="V14" s="2">
        <f t="shared" si="1"/>
        <v>357</v>
      </c>
      <c r="W14" s="3">
        <v>80</v>
      </c>
      <c r="X14" s="3">
        <v>97</v>
      </c>
      <c r="Y14" s="3">
        <v>76</v>
      </c>
      <c r="Z14" s="3">
        <v>30</v>
      </c>
      <c r="AA14" s="3">
        <v>66</v>
      </c>
      <c r="AB14" s="3">
        <v>96</v>
      </c>
      <c r="AC14" s="3">
        <f t="shared" si="2"/>
        <v>349</v>
      </c>
    </row>
    <row r="15" spans="1:29" x14ac:dyDescent="0.25">
      <c r="A15" s="14" t="s">
        <v>352</v>
      </c>
      <c r="B15" s="2">
        <v>46</v>
      </c>
      <c r="C15" s="2">
        <v>33.5</v>
      </c>
      <c r="D15" s="2">
        <v>28</v>
      </c>
      <c r="E15" s="2">
        <v>61.5</v>
      </c>
      <c r="F15" s="2">
        <v>74</v>
      </c>
      <c r="G15" s="2">
        <v>74</v>
      </c>
      <c r="H15" s="2">
        <v>255.5</v>
      </c>
      <c r="I15" s="2">
        <v>48</v>
      </c>
      <c r="J15" s="2">
        <v>36</v>
      </c>
      <c r="K15" s="2">
        <v>23</v>
      </c>
      <c r="L15" s="2">
        <v>59</v>
      </c>
      <c r="M15" s="2">
        <v>50</v>
      </c>
      <c r="N15" s="2">
        <v>73</v>
      </c>
      <c r="O15" s="2">
        <f t="shared" si="0"/>
        <v>230</v>
      </c>
      <c r="P15" s="2">
        <v>56</v>
      </c>
      <c r="Q15" s="2">
        <v>36</v>
      </c>
      <c r="R15" s="2">
        <v>16</v>
      </c>
      <c r="S15" s="2">
        <v>52</v>
      </c>
      <c r="T15" s="2">
        <v>66</v>
      </c>
      <c r="U15" s="2">
        <v>57</v>
      </c>
      <c r="V15" s="2">
        <f t="shared" si="1"/>
        <v>231</v>
      </c>
      <c r="W15" s="3">
        <v>62</v>
      </c>
      <c r="X15" s="3">
        <v>73</v>
      </c>
      <c r="Y15" s="3">
        <v>56</v>
      </c>
      <c r="Z15" s="3">
        <v>10</v>
      </c>
      <c r="AA15" s="3">
        <v>25</v>
      </c>
      <c r="AB15" s="3">
        <v>35</v>
      </c>
      <c r="AC15" s="3">
        <f t="shared" si="2"/>
        <v>226</v>
      </c>
    </row>
    <row r="16" spans="1:29" x14ac:dyDescent="0.25">
      <c r="A16" s="14" t="s">
        <v>353</v>
      </c>
      <c r="B16" s="2">
        <v>74</v>
      </c>
      <c r="C16" s="2">
        <v>50</v>
      </c>
      <c r="D16" s="2">
        <v>42</v>
      </c>
      <c r="E16" s="2">
        <v>92</v>
      </c>
      <c r="F16" s="2">
        <v>74</v>
      </c>
      <c r="G16" s="2">
        <v>79</v>
      </c>
      <c r="H16" s="2">
        <v>319</v>
      </c>
      <c r="I16" s="2">
        <v>69</v>
      </c>
      <c r="J16" s="2">
        <v>54</v>
      </c>
      <c r="K16" s="2">
        <v>24</v>
      </c>
      <c r="L16" s="2">
        <v>78</v>
      </c>
      <c r="M16" s="2">
        <v>60</v>
      </c>
      <c r="N16" s="2">
        <v>83</v>
      </c>
      <c r="O16" s="2">
        <f t="shared" si="0"/>
        <v>290</v>
      </c>
      <c r="P16" s="2">
        <v>68</v>
      </c>
      <c r="Q16" s="2">
        <v>55</v>
      </c>
      <c r="R16" s="2">
        <v>24</v>
      </c>
      <c r="S16" s="2">
        <v>79</v>
      </c>
      <c r="T16" s="2">
        <v>86</v>
      </c>
      <c r="U16" s="2">
        <v>58</v>
      </c>
      <c r="V16" s="2">
        <f t="shared" si="1"/>
        <v>291</v>
      </c>
      <c r="W16" s="16"/>
      <c r="X16" s="16"/>
      <c r="Y16" s="16"/>
      <c r="Z16" s="16"/>
      <c r="AA16" s="16"/>
      <c r="AB16" s="16"/>
      <c r="AC16" s="16"/>
    </row>
    <row r="17" spans="1:29" x14ac:dyDescent="0.25">
      <c r="A17" s="14" t="s">
        <v>354</v>
      </c>
      <c r="B17" s="2">
        <v>90</v>
      </c>
      <c r="C17" s="2">
        <v>78</v>
      </c>
      <c r="D17" s="2">
        <v>38</v>
      </c>
      <c r="E17" s="2">
        <v>116</v>
      </c>
      <c r="F17" s="2">
        <v>90</v>
      </c>
      <c r="G17" s="2">
        <v>95</v>
      </c>
      <c r="H17" s="2">
        <v>391</v>
      </c>
      <c r="I17" s="2">
        <v>83</v>
      </c>
      <c r="J17" s="2">
        <v>65</v>
      </c>
      <c r="K17" s="2">
        <v>20</v>
      </c>
      <c r="L17" s="2">
        <v>85</v>
      </c>
      <c r="M17" s="2">
        <v>82</v>
      </c>
      <c r="N17" s="2">
        <v>85</v>
      </c>
      <c r="O17" s="2">
        <f t="shared" si="0"/>
        <v>335</v>
      </c>
      <c r="P17" s="2">
        <v>90</v>
      </c>
      <c r="Q17" s="2">
        <v>47</v>
      </c>
      <c r="R17" s="2">
        <v>23</v>
      </c>
      <c r="S17" s="2">
        <v>70</v>
      </c>
      <c r="T17" s="2">
        <v>88</v>
      </c>
      <c r="U17" s="2">
        <v>61</v>
      </c>
      <c r="V17" s="2">
        <f t="shared" si="1"/>
        <v>309</v>
      </c>
      <c r="W17" s="3">
        <v>88</v>
      </c>
      <c r="X17" s="3">
        <v>76</v>
      </c>
      <c r="Y17" s="3">
        <v>79</v>
      </c>
      <c r="Z17" s="3">
        <v>30</v>
      </c>
      <c r="AA17" s="3">
        <v>46</v>
      </c>
      <c r="AB17" s="3">
        <v>76</v>
      </c>
      <c r="AC17" s="3">
        <f t="shared" si="2"/>
        <v>319</v>
      </c>
    </row>
    <row r="18" spans="1:29" x14ac:dyDescent="0.25">
      <c r="A18" s="14" t="s">
        <v>355</v>
      </c>
      <c r="B18" s="2">
        <v>51</v>
      </c>
      <c r="C18" s="2">
        <v>81</v>
      </c>
      <c r="D18" s="2">
        <v>53</v>
      </c>
      <c r="E18" s="2">
        <v>134</v>
      </c>
      <c r="F18" s="2">
        <v>82</v>
      </c>
      <c r="G18" s="2">
        <v>94</v>
      </c>
      <c r="H18" s="2">
        <v>361</v>
      </c>
      <c r="I18" s="2">
        <v>52</v>
      </c>
      <c r="J18" s="2">
        <v>57</v>
      </c>
      <c r="K18" s="2">
        <v>48</v>
      </c>
      <c r="L18" s="2">
        <v>105</v>
      </c>
      <c r="M18" s="2">
        <v>76</v>
      </c>
      <c r="N18" s="2">
        <v>92</v>
      </c>
      <c r="O18" s="2">
        <f t="shared" si="0"/>
        <v>325</v>
      </c>
      <c r="P18" s="2">
        <v>55</v>
      </c>
      <c r="Q18" s="2">
        <v>64</v>
      </c>
      <c r="R18" s="2">
        <v>29</v>
      </c>
      <c r="S18" s="2">
        <v>93</v>
      </c>
      <c r="T18" s="2">
        <v>86</v>
      </c>
      <c r="U18" s="2">
        <v>87</v>
      </c>
      <c r="V18" s="2">
        <f t="shared" si="1"/>
        <v>321</v>
      </c>
      <c r="W18" s="3">
        <v>78</v>
      </c>
      <c r="X18" s="3">
        <v>92</v>
      </c>
      <c r="Y18" s="3">
        <v>49</v>
      </c>
      <c r="Z18" s="3">
        <v>44</v>
      </c>
      <c r="AA18" s="3">
        <v>45</v>
      </c>
      <c r="AB18" s="3">
        <v>89</v>
      </c>
      <c r="AC18" s="3">
        <f t="shared" si="2"/>
        <v>308</v>
      </c>
    </row>
    <row r="19" spans="1:29" x14ac:dyDescent="0.25">
      <c r="A19" s="14" t="s">
        <v>356</v>
      </c>
      <c r="B19" s="2">
        <v>73</v>
      </c>
      <c r="C19" s="2">
        <v>63</v>
      </c>
      <c r="D19" s="2">
        <v>48</v>
      </c>
      <c r="E19" s="2">
        <v>111</v>
      </c>
      <c r="F19" s="2">
        <v>86</v>
      </c>
      <c r="G19" s="2">
        <v>94</v>
      </c>
      <c r="H19" s="2">
        <v>364</v>
      </c>
      <c r="I19" s="2">
        <v>86</v>
      </c>
      <c r="J19" s="2">
        <v>63</v>
      </c>
      <c r="K19" s="2">
        <v>27</v>
      </c>
      <c r="L19" s="2">
        <v>90</v>
      </c>
      <c r="M19" s="2">
        <v>72</v>
      </c>
      <c r="N19" s="2">
        <v>96</v>
      </c>
      <c r="O19" s="2">
        <f t="shared" si="0"/>
        <v>344</v>
      </c>
      <c r="P19" s="2">
        <v>80</v>
      </c>
      <c r="Q19" s="2">
        <v>66</v>
      </c>
      <c r="R19" s="2">
        <v>28</v>
      </c>
      <c r="S19" s="2">
        <v>94</v>
      </c>
      <c r="T19" s="2">
        <v>90</v>
      </c>
      <c r="U19" s="2">
        <v>86</v>
      </c>
      <c r="V19" s="2">
        <f t="shared" si="1"/>
        <v>350</v>
      </c>
      <c r="W19" s="16"/>
      <c r="X19" s="16"/>
      <c r="Y19" s="16"/>
      <c r="Z19" s="16"/>
      <c r="AA19" s="16"/>
      <c r="AB19" s="16"/>
      <c r="AC19" s="16"/>
    </row>
    <row r="20" spans="1:29" x14ac:dyDescent="0.25">
      <c r="A20" s="14" t="s">
        <v>357</v>
      </c>
      <c r="B20" s="2">
        <v>33</v>
      </c>
      <c r="C20" s="2">
        <v>63</v>
      </c>
      <c r="D20" s="2">
        <v>46</v>
      </c>
      <c r="E20" s="2">
        <v>109</v>
      </c>
      <c r="F20" s="2">
        <v>70</v>
      </c>
      <c r="G20" s="2">
        <v>85</v>
      </c>
      <c r="H20" s="2">
        <v>297</v>
      </c>
      <c r="I20" s="2">
        <v>36</v>
      </c>
      <c r="J20" s="2">
        <v>46</v>
      </c>
      <c r="K20" s="2">
        <v>25</v>
      </c>
      <c r="L20" s="2">
        <v>71</v>
      </c>
      <c r="M20" s="2">
        <v>44</v>
      </c>
      <c r="N20" s="2">
        <v>57</v>
      </c>
      <c r="O20" s="2">
        <f t="shared" si="0"/>
        <v>208</v>
      </c>
      <c r="P20" s="2">
        <v>49</v>
      </c>
      <c r="Q20" s="2">
        <v>48</v>
      </c>
      <c r="R20" s="2">
        <v>12</v>
      </c>
      <c r="S20" s="2">
        <v>60</v>
      </c>
      <c r="T20" s="2">
        <v>58</v>
      </c>
      <c r="U20" s="2">
        <v>63</v>
      </c>
      <c r="V20" s="2">
        <f t="shared" si="1"/>
        <v>230</v>
      </c>
      <c r="W20" s="3">
        <v>78</v>
      </c>
      <c r="X20" s="3">
        <v>53</v>
      </c>
      <c r="Y20" s="3">
        <v>45</v>
      </c>
      <c r="Z20" s="3">
        <v>30</v>
      </c>
      <c r="AA20" s="3">
        <v>51</v>
      </c>
      <c r="AB20" s="3">
        <v>81</v>
      </c>
      <c r="AC20" s="3">
        <f t="shared" si="2"/>
        <v>257</v>
      </c>
    </row>
    <row r="21" spans="1:29" x14ac:dyDescent="0.25">
      <c r="A21" s="14" t="s">
        <v>358</v>
      </c>
      <c r="B21" s="2">
        <v>65</v>
      </c>
      <c r="C21" s="2">
        <v>80</v>
      </c>
      <c r="D21" s="2">
        <v>40</v>
      </c>
      <c r="E21" s="2">
        <v>120</v>
      </c>
      <c r="F21" s="2">
        <v>70</v>
      </c>
      <c r="G21" s="2">
        <v>94</v>
      </c>
      <c r="H21" s="2">
        <v>349</v>
      </c>
      <c r="I21" s="2">
        <v>74</v>
      </c>
      <c r="J21" s="2">
        <v>41</v>
      </c>
      <c r="K21" s="2">
        <v>35</v>
      </c>
      <c r="L21" s="2">
        <v>76</v>
      </c>
      <c r="M21" s="2">
        <v>68</v>
      </c>
      <c r="N21" s="2">
        <v>96</v>
      </c>
      <c r="O21" s="2">
        <f t="shared" si="0"/>
        <v>314</v>
      </c>
      <c r="P21" s="2">
        <v>81</v>
      </c>
      <c r="Q21" s="2">
        <v>64</v>
      </c>
      <c r="R21" s="2">
        <v>31</v>
      </c>
      <c r="S21" s="2">
        <v>95</v>
      </c>
      <c r="T21" s="2">
        <v>70</v>
      </c>
      <c r="U21" s="2">
        <v>77</v>
      </c>
      <c r="V21" s="2">
        <f t="shared" si="1"/>
        <v>323</v>
      </c>
      <c r="W21" s="16"/>
      <c r="X21" s="16"/>
      <c r="Y21" s="16"/>
      <c r="Z21" s="16"/>
      <c r="AA21" s="16"/>
      <c r="AB21" s="16"/>
      <c r="AC21" s="16"/>
    </row>
    <row r="22" spans="1:29" x14ac:dyDescent="0.25">
      <c r="A22" s="14" t="s">
        <v>359</v>
      </c>
      <c r="B22" s="2">
        <v>71</v>
      </c>
      <c r="C22" s="2">
        <v>64</v>
      </c>
      <c r="D22" s="2">
        <v>32</v>
      </c>
      <c r="E22" s="2">
        <v>96</v>
      </c>
      <c r="F22" s="2">
        <v>70</v>
      </c>
      <c r="G22" s="2">
        <v>81</v>
      </c>
      <c r="H22" s="2">
        <v>318</v>
      </c>
      <c r="I22" s="2">
        <v>82</v>
      </c>
      <c r="J22" s="2">
        <v>63</v>
      </c>
      <c r="K22" s="2">
        <v>26</v>
      </c>
      <c r="L22" s="2">
        <v>89</v>
      </c>
      <c r="M22" s="2">
        <v>74</v>
      </c>
      <c r="N22" s="2">
        <v>85</v>
      </c>
      <c r="O22" s="2">
        <f t="shared" si="0"/>
        <v>330</v>
      </c>
      <c r="P22" s="2">
        <v>77</v>
      </c>
      <c r="Q22" s="2">
        <v>54</v>
      </c>
      <c r="R22" s="2">
        <v>20</v>
      </c>
      <c r="S22" s="2">
        <v>74</v>
      </c>
      <c r="T22" s="2">
        <v>78</v>
      </c>
      <c r="U22" s="2">
        <v>81</v>
      </c>
      <c r="V22" s="2">
        <f t="shared" si="1"/>
        <v>310</v>
      </c>
      <c r="W22" s="3">
        <v>70</v>
      </c>
      <c r="X22" s="3">
        <v>77</v>
      </c>
      <c r="Y22" s="3">
        <v>85</v>
      </c>
      <c r="Z22" s="3">
        <v>23</v>
      </c>
      <c r="AA22" s="3">
        <v>53</v>
      </c>
      <c r="AB22" s="3">
        <v>76</v>
      </c>
      <c r="AC22" s="3">
        <f t="shared" si="2"/>
        <v>308</v>
      </c>
    </row>
    <row r="23" spans="1:29" x14ac:dyDescent="0.25">
      <c r="A23" s="21" t="s">
        <v>360</v>
      </c>
      <c r="B23" s="2">
        <v>71</v>
      </c>
      <c r="C23" s="2">
        <v>64</v>
      </c>
      <c r="D23" s="2">
        <v>37</v>
      </c>
      <c r="E23" s="2">
        <v>101</v>
      </c>
      <c r="F23" s="2">
        <v>70</v>
      </c>
      <c r="G23" s="2">
        <v>74</v>
      </c>
      <c r="H23" s="2">
        <v>316</v>
      </c>
      <c r="I23" s="2">
        <v>65</v>
      </c>
      <c r="J23" s="2">
        <v>49</v>
      </c>
      <c r="K23" s="2">
        <v>25</v>
      </c>
      <c r="L23" s="2">
        <v>74</v>
      </c>
      <c r="M23" s="2">
        <v>62</v>
      </c>
      <c r="N23" s="2">
        <v>69</v>
      </c>
      <c r="O23" s="2">
        <f t="shared" si="0"/>
        <v>270</v>
      </c>
      <c r="P23" s="2">
        <v>55</v>
      </c>
      <c r="Q23" s="2">
        <v>42</v>
      </c>
      <c r="R23" s="2">
        <v>27</v>
      </c>
      <c r="S23" s="2">
        <v>67</v>
      </c>
      <c r="T23" s="2">
        <v>70</v>
      </c>
      <c r="U23" s="2">
        <v>50</v>
      </c>
      <c r="V23" s="2">
        <f t="shared" si="1"/>
        <v>244</v>
      </c>
      <c r="W23" s="3">
        <v>70</v>
      </c>
      <c r="X23" s="3">
        <v>65</v>
      </c>
      <c r="Y23" s="3">
        <v>48</v>
      </c>
      <c r="Z23" s="3">
        <v>21</v>
      </c>
      <c r="AA23" s="3">
        <v>46</v>
      </c>
      <c r="AB23" s="3">
        <v>67</v>
      </c>
      <c r="AC23" s="3">
        <f t="shared" si="2"/>
        <v>250</v>
      </c>
    </row>
    <row r="24" spans="1:29" x14ac:dyDescent="0.25">
      <c r="A24" s="14" t="s">
        <v>361</v>
      </c>
      <c r="B24" s="2">
        <v>46</v>
      </c>
      <c r="C24" s="2">
        <v>57.5</v>
      </c>
      <c r="D24" s="2">
        <v>31</v>
      </c>
      <c r="E24" s="2">
        <v>88.5</v>
      </c>
      <c r="F24" s="2">
        <v>76</v>
      </c>
      <c r="G24" s="2">
        <v>57</v>
      </c>
      <c r="H24" s="2">
        <v>267.5</v>
      </c>
      <c r="I24" s="2">
        <v>59</v>
      </c>
      <c r="J24" s="2">
        <v>40</v>
      </c>
      <c r="K24" s="2">
        <v>26</v>
      </c>
      <c r="L24" s="2">
        <v>66</v>
      </c>
      <c r="M24" s="2">
        <v>58</v>
      </c>
      <c r="N24" s="2">
        <v>65</v>
      </c>
      <c r="O24" s="2">
        <f t="shared" si="0"/>
        <v>248</v>
      </c>
      <c r="P24" s="2">
        <v>56</v>
      </c>
      <c r="Q24" s="2">
        <v>40</v>
      </c>
      <c r="R24" s="2">
        <v>19</v>
      </c>
      <c r="S24" s="2">
        <v>59</v>
      </c>
      <c r="T24" s="2">
        <v>60</v>
      </c>
      <c r="U24" s="2">
        <v>57</v>
      </c>
      <c r="V24" s="2">
        <f t="shared" si="1"/>
        <v>232</v>
      </c>
      <c r="W24" s="3">
        <v>76</v>
      </c>
      <c r="X24" s="3">
        <v>63</v>
      </c>
      <c r="Y24" s="3">
        <v>58</v>
      </c>
      <c r="Z24" s="3">
        <v>25</v>
      </c>
      <c r="AA24" s="3">
        <v>47</v>
      </c>
      <c r="AB24" s="3">
        <v>72</v>
      </c>
      <c r="AC24" s="3">
        <f t="shared" si="2"/>
        <v>269</v>
      </c>
    </row>
    <row r="25" spans="1:29" x14ac:dyDescent="0.25">
      <c r="A25" s="14" t="s">
        <v>362</v>
      </c>
      <c r="B25" s="2">
        <v>57</v>
      </c>
      <c r="C25" s="2">
        <v>65</v>
      </c>
      <c r="D25" s="2">
        <v>42</v>
      </c>
      <c r="E25" s="2">
        <v>107</v>
      </c>
      <c r="F25" s="2">
        <v>76</v>
      </c>
      <c r="G25" s="2">
        <v>82</v>
      </c>
      <c r="H25" s="2">
        <v>322</v>
      </c>
      <c r="I25" s="2">
        <v>66</v>
      </c>
      <c r="J25" s="2">
        <v>36</v>
      </c>
      <c r="K25" s="2">
        <v>32</v>
      </c>
      <c r="L25" s="2">
        <v>68</v>
      </c>
      <c r="M25" s="2">
        <v>56</v>
      </c>
      <c r="N25" s="2">
        <v>82</v>
      </c>
      <c r="O25" s="2">
        <f t="shared" si="0"/>
        <v>272</v>
      </c>
      <c r="P25" s="12"/>
      <c r="Q25" s="12"/>
      <c r="R25" s="12"/>
      <c r="S25" s="12"/>
      <c r="T25" s="12"/>
      <c r="U25" s="12"/>
      <c r="V25" s="12"/>
      <c r="W25" s="3">
        <v>62</v>
      </c>
      <c r="X25" s="3">
        <v>74</v>
      </c>
      <c r="Y25" s="3">
        <v>48</v>
      </c>
      <c r="Z25" s="3">
        <v>14</v>
      </c>
      <c r="AA25" s="3">
        <v>41</v>
      </c>
      <c r="AB25" s="3">
        <v>55</v>
      </c>
      <c r="AC25" s="3">
        <f t="shared" si="2"/>
        <v>239</v>
      </c>
    </row>
    <row r="26" spans="1:29" x14ac:dyDescent="0.25">
      <c r="A26" s="14" t="s">
        <v>363</v>
      </c>
      <c r="B26" s="2">
        <v>83</v>
      </c>
      <c r="C26" s="2">
        <v>73</v>
      </c>
      <c r="D26" s="2">
        <v>45</v>
      </c>
      <c r="E26" s="2">
        <v>118</v>
      </c>
      <c r="F26" s="2">
        <v>84</v>
      </c>
      <c r="G26" s="2">
        <v>89</v>
      </c>
      <c r="H26" s="2">
        <v>374</v>
      </c>
      <c r="I26" s="2">
        <v>58</v>
      </c>
      <c r="J26" s="2">
        <v>26</v>
      </c>
      <c r="K26" s="2">
        <v>42</v>
      </c>
      <c r="L26" s="2">
        <v>68</v>
      </c>
      <c r="M26" s="2">
        <v>62</v>
      </c>
      <c r="N26" s="2">
        <v>80</v>
      </c>
      <c r="O26" s="2">
        <f t="shared" si="0"/>
        <v>268</v>
      </c>
      <c r="P26" s="2">
        <v>78</v>
      </c>
      <c r="Q26" s="2">
        <v>73</v>
      </c>
      <c r="R26" s="2">
        <v>37</v>
      </c>
      <c r="S26" s="2">
        <v>110</v>
      </c>
      <c r="T26" s="2">
        <v>86</v>
      </c>
      <c r="U26" s="2">
        <v>67</v>
      </c>
      <c r="V26" s="2">
        <f t="shared" si="1"/>
        <v>341</v>
      </c>
      <c r="W26" s="16"/>
      <c r="X26" s="16"/>
      <c r="Y26" s="16"/>
      <c r="Z26" s="16"/>
      <c r="AA26" s="16"/>
      <c r="AB26" s="16"/>
      <c r="AC26" s="16"/>
    </row>
    <row r="27" spans="1:29" x14ac:dyDescent="0.25">
      <c r="A27" s="14" t="s">
        <v>364</v>
      </c>
      <c r="B27" s="2">
        <v>88</v>
      </c>
      <c r="C27" s="2">
        <v>76</v>
      </c>
      <c r="D27" s="2">
        <v>39</v>
      </c>
      <c r="E27" s="2">
        <v>115</v>
      </c>
      <c r="F27" s="2">
        <v>86</v>
      </c>
      <c r="G27" s="2">
        <v>97</v>
      </c>
      <c r="H27" s="2">
        <v>386</v>
      </c>
      <c r="I27" s="2"/>
      <c r="J27" s="2"/>
      <c r="K27" s="2"/>
      <c r="L27" s="12"/>
      <c r="M27" s="12"/>
      <c r="N27" s="12"/>
      <c r="O27" s="12"/>
      <c r="P27" s="2">
        <v>88</v>
      </c>
      <c r="Q27" s="2">
        <v>65</v>
      </c>
      <c r="R27" s="2">
        <v>33</v>
      </c>
      <c r="S27" s="2">
        <v>98</v>
      </c>
      <c r="T27" s="2">
        <v>86</v>
      </c>
      <c r="U27" s="2">
        <v>96</v>
      </c>
      <c r="V27" s="2">
        <f t="shared" si="1"/>
        <v>368</v>
      </c>
      <c r="W27" s="3">
        <v>82</v>
      </c>
      <c r="X27" s="3">
        <v>84</v>
      </c>
      <c r="Y27" s="3">
        <v>82</v>
      </c>
      <c r="Z27" s="3">
        <v>50</v>
      </c>
      <c r="AA27" s="3">
        <v>69</v>
      </c>
      <c r="AB27" s="3">
        <v>119</v>
      </c>
      <c r="AC27" s="3">
        <f t="shared" si="2"/>
        <v>367</v>
      </c>
    </row>
    <row r="28" spans="1:29" x14ac:dyDescent="0.25">
      <c r="A28" s="14" t="s">
        <v>365</v>
      </c>
      <c r="B28" s="2">
        <v>63</v>
      </c>
      <c r="C28" s="2">
        <v>44</v>
      </c>
      <c r="D28" s="2">
        <v>34</v>
      </c>
      <c r="E28" s="2">
        <v>78</v>
      </c>
      <c r="F28" s="2">
        <v>72</v>
      </c>
      <c r="G28" s="2">
        <v>78</v>
      </c>
      <c r="H28" s="2">
        <v>291</v>
      </c>
      <c r="I28" s="2">
        <v>78</v>
      </c>
      <c r="J28" s="2">
        <v>59</v>
      </c>
      <c r="K28" s="2">
        <v>20</v>
      </c>
      <c r="L28" s="2">
        <v>79</v>
      </c>
      <c r="M28" s="2">
        <v>64</v>
      </c>
      <c r="N28" s="2">
        <v>59</v>
      </c>
      <c r="O28" s="2">
        <f t="shared" si="0"/>
        <v>280</v>
      </c>
      <c r="P28" s="2">
        <v>79</v>
      </c>
      <c r="Q28" s="2">
        <v>64</v>
      </c>
      <c r="R28" s="2">
        <v>21</v>
      </c>
      <c r="S28" s="2">
        <v>85</v>
      </c>
      <c r="T28" s="2">
        <v>74</v>
      </c>
      <c r="U28" s="2">
        <v>60</v>
      </c>
      <c r="V28" s="2">
        <f t="shared" si="1"/>
        <v>298</v>
      </c>
      <c r="W28" s="3">
        <v>78</v>
      </c>
      <c r="X28" s="3">
        <v>63</v>
      </c>
      <c r="Y28" s="3">
        <v>70</v>
      </c>
      <c r="Z28" s="3">
        <v>21</v>
      </c>
      <c r="AA28" s="3">
        <v>55</v>
      </c>
      <c r="AB28" s="3">
        <v>79</v>
      </c>
      <c r="AC28" s="3">
        <f t="shared" si="2"/>
        <v>290</v>
      </c>
    </row>
    <row r="29" spans="1:29" x14ac:dyDescent="0.25">
      <c r="A29" s="14" t="s">
        <v>366</v>
      </c>
      <c r="B29" s="2">
        <v>61</v>
      </c>
      <c r="C29" s="2">
        <v>73.5</v>
      </c>
      <c r="D29" s="2">
        <v>48</v>
      </c>
      <c r="E29" s="2">
        <v>121.5</v>
      </c>
      <c r="F29" s="2">
        <v>80</v>
      </c>
      <c r="G29" s="2">
        <v>78</v>
      </c>
      <c r="H29" s="2">
        <v>340.5</v>
      </c>
      <c r="I29" s="2">
        <v>62</v>
      </c>
      <c r="J29" s="2">
        <v>42</v>
      </c>
      <c r="K29" s="2">
        <v>39</v>
      </c>
      <c r="L29" s="2">
        <v>81</v>
      </c>
      <c r="M29" s="2">
        <v>70</v>
      </c>
      <c r="N29" s="2">
        <v>55</v>
      </c>
      <c r="O29" s="2">
        <f t="shared" si="0"/>
        <v>268</v>
      </c>
      <c r="P29" s="2">
        <v>67</v>
      </c>
      <c r="Q29" s="2">
        <v>72</v>
      </c>
      <c r="R29" s="2">
        <v>22</v>
      </c>
      <c r="S29" s="2">
        <v>94</v>
      </c>
      <c r="T29" s="2">
        <v>80</v>
      </c>
      <c r="U29" s="2">
        <v>59</v>
      </c>
      <c r="V29" s="2">
        <f t="shared" si="1"/>
        <v>300</v>
      </c>
      <c r="W29" s="3">
        <v>86</v>
      </c>
      <c r="X29" s="3">
        <v>71</v>
      </c>
      <c r="Y29" s="3">
        <v>64</v>
      </c>
      <c r="Z29" s="3">
        <v>39</v>
      </c>
      <c r="AA29" s="3">
        <v>56</v>
      </c>
      <c r="AB29" s="3">
        <v>95</v>
      </c>
      <c r="AC29" s="3">
        <f t="shared" si="2"/>
        <v>316</v>
      </c>
    </row>
    <row r="30" spans="1:29" x14ac:dyDescent="0.25">
      <c r="A30" s="14" t="s">
        <v>367</v>
      </c>
      <c r="B30" s="2"/>
      <c r="C30" s="2"/>
      <c r="D30" s="2"/>
      <c r="E30" s="2"/>
      <c r="F30" s="2"/>
      <c r="G30" s="2"/>
      <c r="H30" s="2"/>
      <c r="I30" s="2">
        <v>32</v>
      </c>
      <c r="J30" s="2">
        <v>32</v>
      </c>
      <c r="K30" s="2">
        <v>20</v>
      </c>
      <c r="L30" s="2">
        <v>52</v>
      </c>
      <c r="M30" s="2">
        <v>72</v>
      </c>
      <c r="N30" s="2">
        <v>78</v>
      </c>
      <c r="O30" s="2">
        <f t="shared" si="0"/>
        <v>234</v>
      </c>
      <c r="P30" s="2">
        <v>53</v>
      </c>
      <c r="Q30" s="2">
        <v>56</v>
      </c>
      <c r="R30" s="2">
        <v>22</v>
      </c>
      <c r="S30" s="2">
        <v>78</v>
      </c>
      <c r="T30" s="2">
        <v>88</v>
      </c>
      <c r="U30" s="2">
        <v>49</v>
      </c>
      <c r="V30" s="2">
        <f t="shared" si="1"/>
        <v>268</v>
      </c>
      <c r="W30" s="3">
        <v>80</v>
      </c>
      <c r="X30" s="3">
        <v>36</v>
      </c>
      <c r="Y30" s="3">
        <v>40</v>
      </c>
      <c r="Z30" s="3">
        <v>13</v>
      </c>
      <c r="AA30" s="3">
        <v>40</v>
      </c>
      <c r="AB30" s="3">
        <v>53</v>
      </c>
      <c r="AC30" s="3">
        <f t="shared" ref="AC30:AC46" si="3">W30+X30+Y30+AB30</f>
        <v>209</v>
      </c>
    </row>
    <row r="31" spans="1:29" x14ac:dyDescent="0.25">
      <c r="A31" s="21" t="s">
        <v>268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12"/>
      <c r="M31" s="12"/>
      <c r="N31" s="12"/>
      <c r="O31" s="12"/>
      <c r="P31" s="2"/>
      <c r="Q31" s="2"/>
      <c r="R31" s="2"/>
      <c r="S31" s="2"/>
      <c r="T31" s="2"/>
      <c r="U31" s="2"/>
      <c r="V31" s="2"/>
      <c r="W31" s="3"/>
      <c r="X31" s="3"/>
      <c r="Y31" s="3"/>
      <c r="Z31" s="3"/>
      <c r="AA31" s="3"/>
      <c r="AB31" s="3"/>
      <c r="AC31" s="3">
        <f t="shared" si="3"/>
        <v>0</v>
      </c>
    </row>
    <row r="32" spans="1:29" x14ac:dyDescent="0.25">
      <c r="A32" s="14" t="s">
        <v>368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6"/>
      <c r="X32" s="16"/>
      <c r="Y32" s="16"/>
      <c r="Z32" s="16"/>
      <c r="AA32" s="16"/>
      <c r="AB32" s="16"/>
      <c r="AC32" s="16"/>
    </row>
    <row r="33" spans="1:29" x14ac:dyDescent="0.25">
      <c r="A33" s="14" t="s">
        <v>369</v>
      </c>
      <c r="B33" s="2">
        <v>75</v>
      </c>
      <c r="C33" s="2">
        <v>62.5</v>
      </c>
      <c r="D33" s="2">
        <v>42</v>
      </c>
      <c r="E33" s="2">
        <v>104.5</v>
      </c>
      <c r="F33" s="2">
        <v>78</v>
      </c>
      <c r="G33" s="2">
        <v>90</v>
      </c>
      <c r="H33" s="2">
        <v>347.5</v>
      </c>
      <c r="I33" s="2">
        <v>74</v>
      </c>
      <c r="J33" s="2">
        <v>52</v>
      </c>
      <c r="K33" s="2">
        <v>34</v>
      </c>
      <c r="L33" s="2">
        <v>86</v>
      </c>
      <c r="M33" s="2">
        <v>68</v>
      </c>
      <c r="N33" s="2">
        <v>91</v>
      </c>
      <c r="O33" s="2">
        <f t="shared" si="0"/>
        <v>319</v>
      </c>
      <c r="P33" s="2">
        <v>76</v>
      </c>
      <c r="Q33" s="2">
        <v>66</v>
      </c>
      <c r="R33" s="2">
        <v>22</v>
      </c>
      <c r="S33" s="2">
        <v>88</v>
      </c>
      <c r="T33" s="2">
        <v>78</v>
      </c>
      <c r="U33" s="2">
        <v>81</v>
      </c>
      <c r="V33" s="2">
        <f t="shared" si="1"/>
        <v>323</v>
      </c>
      <c r="W33" s="3">
        <v>86</v>
      </c>
      <c r="X33" s="3">
        <v>94</v>
      </c>
      <c r="Y33" s="3">
        <v>77</v>
      </c>
      <c r="Z33" s="3">
        <v>49</v>
      </c>
      <c r="AA33" s="3">
        <v>63</v>
      </c>
      <c r="AB33" s="3">
        <v>112</v>
      </c>
      <c r="AC33" s="3">
        <f t="shared" si="3"/>
        <v>369</v>
      </c>
    </row>
    <row r="34" spans="1:29" x14ac:dyDescent="0.25">
      <c r="A34" s="14" t="s">
        <v>370</v>
      </c>
      <c r="B34" s="2">
        <v>70</v>
      </c>
      <c r="C34" s="2">
        <v>76.5</v>
      </c>
      <c r="D34" s="2">
        <v>41</v>
      </c>
      <c r="E34" s="2">
        <v>117.5</v>
      </c>
      <c r="F34" s="2">
        <v>78</v>
      </c>
      <c r="G34" s="2">
        <v>86</v>
      </c>
      <c r="H34" s="2">
        <v>351.5</v>
      </c>
      <c r="I34" s="2">
        <v>59</v>
      </c>
      <c r="J34" s="2">
        <v>55</v>
      </c>
      <c r="K34" s="2">
        <v>36</v>
      </c>
      <c r="L34" s="2">
        <v>91</v>
      </c>
      <c r="M34" s="2">
        <v>70</v>
      </c>
      <c r="N34" s="2">
        <v>95</v>
      </c>
      <c r="O34" s="2">
        <f t="shared" si="0"/>
        <v>315</v>
      </c>
      <c r="P34" s="12"/>
      <c r="Q34" s="12"/>
      <c r="R34" s="12"/>
      <c r="S34" s="12"/>
      <c r="T34" s="12">
        <v>74</v>
      </c>
      <c r="U34" s="12">
        <v>78</v>
      </c>
      <c r="V34" s="2">
        <f t="shared" si="1"/>
        <v>152</v>
      </c>
      <c r="W34" s="3">
        <v>82</v>
      </c>
      <c r="X34" s="3">
        <v>72</v>
      </c>
      <c r="Y34" s="3">
        <v>67</v>
      </c>
      <c r="Z34" s="3">
        <v>31</v>
      </c>
      <c r="AA34" s="3">
        <v>42</v>
      </c>
      <c r="AB34" s="3">
        <v>73</v>
      </c>
      <c r="AC34" s="3">
        <f t="shared" si="3"/>
        <v>294</v>
      </c>
    </row>
    <row r="35" spans="1:29" x14ac:dyDescent="0.25">
      <c r="A35" s="14" t="s">
        <v>371</v>
      </c>
      <c r="B35" s="2">
        <v>70</v>
      </c>
      <c r="C35" s="2">
        <v>48.5</v>
      </c>
      <c r="D35" s="2">
        <v>36</v>
      </c>
      <c r="E35" s="2">
        <v>84.5</v>
      </c>
      <c r="F35" s="2">
        <v>64</v>
      </c>
      <c r="G35" s="2">
        <v>82</v>
      </c>
      <c r="H35" s="2">
        <v>300.5</v>
      </c>
      <c r="I35" s="2">
        <v>54</v>
      </c>
      <c r="J35" s="2">
        <v>36</v>
      </c>
      <c r="K35" s="2">
        <v>22</v>
      </c>
      <c r="L35" s="2">
        <v>58</v>
      </c>
      <c r="M35" s="2">
        <v>60</v>
      </c>
      <c r="N35" s="2">
        <v>73</v>
      </c>
      <c r="O35" s="2">
        <f t="shared" si="0"/>
        <v>245</v>
      </c>
      <c r="P35" s="2">
        <v>69</v>
      </c>
      <c r="Q35" s="2">
        <v>41</v>
      </c>
      <c r="R35" s="2">
        <v>15</v>
      </c>
      <c r="S35" s="2">
        <v>56</v>
      </c>
      <c r="T35" s="2">
        <v>78</v>
      </c>
      <c r="U35" s="2">
        <v>66</v>
      </c>
      <c r="V35" s="2">
        <f t="shared" si="1"/>
        <v>269</v>
      </c>
      <c r="W35" s="3">
        <v>78</v>
      </c>
      <c r="X35" s="3">
        <v>73</v>
      </c>
      <c r="Y35" s="3">
        <v>70</v>
      </c>
      <c r="Z35" s="3">
        <v>19</v>
      </c>
      <c r="AA35" s="3">
        <v>51</v>
      </c>
      <c r="AB35" s="3">
        <v>70</v>
      </c>
      <c r="AC35" s="3">
        <f t="shared" si="3"/>
        <v>291</v>
      </c>
    </row>
    <row r="36" spans="1:29" x14ac:dyDescent="0.25">
      <c r="A36" s="14" t="s">
        <v>372</v>
      </c>
      <c r="B36" s="2">
        <v>74</v>
      </c>
      <c r="C36" s="2">
        <v>57.5</v>
      </c>
      <c r="D36" s="2">
        <v>42</v>
      </c>
      <c r="E36" s="2">
        <v>99.5</v>
      </c>
      <c r="F36" s="2">
        <v>78</v>
      </c>
      <c r="G36" s="2">
        <v>85</v>
      </c>
      <c r="H36" s="2">
        <v>336.5</v>
      </c>
      <c r="I36" s="2">
        <v>56</v>
      </c>
      <c r="J36" s="2">
        <v>54</v>
      </c>
      <c r="K36" s="2">
        <v>46</v>
      </c>
      <c r="L36" s="2">
        <v>100</v>
      </c>
      <c r="M36" s="2">
        <v>76</v>
      </c>
      <c r="N36" s="2">
        <v>80</v>
      </c>
      <c r="O36" s="2">
        <f t="shared" si="0"/>
        <v>312</v>
      </c>
      <c r="P36" s="2">
        <v>84</v>
      </c>
      <c r="Q36" s="2">
        <v>62</v>
      </c>
      <c r="R36" s="2">
        <v>37</v>
      </c>
      <c r="S36" s="2">
        <v>99</v>
      </c>
      <c r="T36" s="2">
        <v>84</v>
      </c>
      <c r="U36" s="2">
        <v>89</v>
      </c>
      <c r="V36" s="2">
        <f t="shared" si="1"/>
        <v>356</v>
      </c>
      <c r="W36" s="3">
        <v>76</v>
      </c>
      <c r="X36" s="3">
        <v>88</v>
      </c>
      <c r="Y36" s="3">
        <v>79</v>
      </c>
      <c r="Z36" s="3">
        <v>34</v>
      </c>
      <c r="AA36" s="3">
        <v>62</v>
      </c>
      <c r="AB36" s="3">
        <v>96</v>
      </c>
      <c r="AC36" s="3">
        <f t="shared" si="3"/>
        <v>339</v>
      </c>
    </row>
    <row r="37" spans="1:29" x14ac:dyDescent="0.25">
      <c r="A37" s="14" t="s">
        <v>373</v>
      </c>
      <c r="B37" s="2">
        <v>73</v>
      </c>
      <c r="C37" s="2">
        <v>58.5</v>
      </c>
      <c r="D37" s="2">
        <v>28</v>
      </c>
      <c r="E37" s="2">
        <v>86.5</v>
      </c>
      <c r="F37" s="2">
        <v>70</v>
      </c>
      <c r="G37" s="2">
        <v>73</v>
      </c>
      <c r="H37" s="2">
        <v>302.5</v>
      </c>
      <c r="I37" s="2">
        <v>84</v>
      </c>
      <c r="J37" s="2">
        <v>24</v>
      </c>
      <c r="K37" s="2">
        <v>15</v>
      </c>
      <c r="L37" s="2">
        <v>39</v>
      </c>
      <c r="M37" s="2">
        <v>74</v>
      </c>
      <c r="N37" s="2">
        <v>81</v>
      </c>
      <c r="O37" s="2">
        <f t="shared" si="0"/>
        <v>278</v>
      </c>
      <c r="P37" s="2">
        <v>86</v>
      </c>
      <c r="Q37" s="2">
        <v>57</v>
      </c>
      <c r="R37" s="2">
        <v>23</v>
      </c>
      <c r="S37" s="2">
        <v>80</v>
      </c>
      <c r="T37" s="2">
        <v>78</v>
      </c>
      <c r="U37" s="2">
        <v>70</v>
      </c>
      <c r="V37" s="2">
        <f t="shared" si="1"/>
        <v>314</v>
      </c>
      <c r="W37" s="16"/>
      <c r="X37" s="16"/>
      <c r="Y37" s="16"/>
      <c r="Z37" s="16"/>
      <c r="AA37" s="16"/>
      <c r="AB37" s="16"/>
      <c r="AC37" s="16"/>
    </row>
    <row r="38" spans="1:29" x14ac:dyDescent="0.25">
      <c r="A38" s="14" t="s">
        <v>374</v>
      </c>
      <c r="B38" s="2">
        <v>54</v>
      </c>
      <c r="C38" s="2">
        <v>53.5</v>
      </c>
      <c r="D38" s="2">
        <v>40</v>
      </c>
      <c r="E38" s="2">
        <v>93.5</v>
      </c>
      <c r="F38" s="2">
        <v>84</v>
      </c>
      <c r="G38" s="2">
        <v>89</v>
      </c>
      <c r="H38" s="2">
        <v>320.5</v>
      </c>
      <c r="I38" s="2">
        <v>66</v>
      </c>
      <c r="J38" s="2">
        <v>44</v>
      </c>
      <c r="K38" s="2">
        <v>21</v>
      </c>
      <c r="L38" s="2">
        <v>65</v>
      </c>
      <c r="M38" s="2">
        <v>56</v>
      </c>
      <c r="N38" s="2">
        <v>83</v>
      </c>
      <c r="O38" s="2">
        <f t="shared" si="0"/>
        <v>270</v>
      </c>
      <c r="P38" s="2">
        <v>76</v>
      </c>
      <c r="Q38" s="2">
        <v>68</v>
      </c>
      <c r="R38" s="2">
        <v>24</v>
      </c>
      <c r="S38" s="2">
        <v>92</v>
      </c>
      <c r="T38" s="2">
        <v>92</v>
      </c>
      <c r="U38" s="2">
        <v>86</v>
      </c>
      <c r="V38" s="2">
        <f t="shared" si="1"/>
        <v>346</v>
      </c>
      <c r="W38" s="3">
        <v>78</v>
      </c>
      <c r="X38" s="3">
        <v>85</v>
      </c>
      <c r="Y38" s="3">
        <v>60</v>
      </c>
      <c r="Z38" s="3">
        <v>25</v>
      </c>
      <c r="AA38" s="3">
        <v>54</v>
      </c>
      <c r="AB38" s="3">
        <v>79</v>
      </c>
      <c r="AC38" s="3">
        <f t="shared" si="3"/>
        <v>302</v>
      </c>
    </row>
    <row r="39" spans="1:29" x14ac:dyDescent="0.25">
      <c r="A39" s="14" t="s">
        <v>375</v>
      </c>
      <c r="B39" s="2">
        <v>100</v>
      </c>
      <c r="C39" s="2">
        <v>66.5</v>
      </c>
      <c r="D39" s="2">
        <v>47</v>
      </c>
      <c r="E39" s="2">
        <v>113.5</v>
      </c>
      <c r="F39" s="2">
        <v>86</v>
      </c>
      <c r="G39" s="2">
        <v>91</v>
      </c>
      <c r="H39" s="2">
        <v>390.5</v>
      </c>
      <c r="I39" s="2">
        <v>92</v>
      </c>
      <c r="J39" s="2">
        <v>53</v>
      </c>
      <c r="K39" s="2">
        <v>43</v>
      </c>
      <c r="L39" s="2">
        <v>96</v>
      </c>
      <c r="M39" s="2">
        <v>76</v>
      </c>
      <c r="N39" s="2">
        <v>99</v>
      </c>
      <c r="O39" s="2">
        <f t="shared" si="0"/>
        <v>363</v>
      </c>
      <c r="P39" s="2">
        <v>94</v>
      </c>
      <c r="Q39" s="2">
        <v>80</v>
      </c>
      <c r="R39" s="2">
        <v>37</v>
      </c>
      <c r="S39" s="2">
        <v>117</v>
      </c>
      <c r="T39" s="2">
        <v>96</v>
      </c>
      <c r="U39" s="2">
        <v>92</v>
      </c>
      <c r="V39" s="2">
        <f t="shared" si="1"/>
        <v>399</v>
      </c>
      <c r="W39" s="3">
        <v>88</v>
      </c>
      <c r="X39" s="3">
        <v>100</v>
      </c>
      <c r="Y39" s="3">
        <v>90</v>
      </c>
      <c r="Z39" s="3">
        <v>46</v>
      </c>
      <c r="AA39" s="3">
        <v>54</v>
      </c>
      <c r="AB39" s="3">
        <v>100</v>
      </c>
      <c r="AC39" s="3">
        <f t="shared" si="3"/>
        <v>378</v>
      </c>
    </row>
    <row r="40" spans="1:29" x14ac:dyDescent="0.25">
      <c r="A40" s="22" t="s">
        <v>376</v>
      </c>
      <c r="B40" s="2">
        <v>75</v>
      </c>
      <c r="C40" s="2">
        <v>70</v>
      </c>
      <c r="D40" s="2">
        <v>45</v>
      </c>
      <c r="E40" s="2">
        <v>115</v>
      </c>
      <c r="F40" s="2">
        <v>82</v>
      </c>
      <c r="G40" s="2">
        <v>93</v>
      </c>
      <c r="H40" s="2">
        <v>365</v>
      </c>
      <c r="I40" s="2">
        <v>84</v>
      </c>
      <c r="J40" s="2">
        <v>54</v>
      </c>
      <c r="K40" s="2">
        <v>49</v>
      </c>
      <c r="L40" s="2">
        <v>103</v>
      </c>
      <c r="M40" s="2">
        <v>70</v>
      </c>
      <c r="N40" s="2">
        <v>97</v>
      </c>
      <c r="O40" s="2">
        <f t="shared" si="0"/>
        <v>354</v>
      </c>
      <c r="P40" s="2">
        <v>90</v>
      </c>
      <c r="Q40" s="2">
        <v>79</v>
      </c>
      <c r="R40" s="2">
        <v>36</v>
      </c>
      <c r="S40" s="2">
        <v>115</v>
      </c>
      <c r="T40" s="2">
        <v>82</v>
      </c>
      <c r="U40" s="2">
        <v>89</v>
      </c>
      <c r="V40" s="2">
        <f t="shared" si="1"/>
        <v>376</v>
      </c>
      <c r="W40" s="16"/>
      <c r="X40" s="16"/>
      <c r="Y40" s="16"/>
      <c r="Z40" s="16"/>
      <c r="AA40" s="16"/>
      <c r="AB40" s="16"/>
      <c r="AC40" s="16"/>
    </row>
    <row r="41" spans="1:29" ht="15" x14ac:dyDescent="0.25">
      <c r="A41" s="23" t="s">
        <v>377</v>
      </c>
      <c r="B41" s="2">
        <v>81</v>
      </c>
      <c r="C41" s="2">
        <v>67</v>
      </c>
      <c r="D41" s="2">
        <v>50</v>
      </c>
      <c r="E41" s="2">
        <v>117</v>
      </c>
      <c r="F41" s="2">
        <v>72</v>
      </c>
      <c r="G41" s="2">
        <v>77</v>
      </c>
      <c r="H41" s="2">
        <v>347</v>
      </c>
      <c r="I41" s="2">
        <v>83</v>
      </c>
      <c r="J41" s="2">
        <v>50</v>
      </c>
      <c r="K41" s="2">
        <v>46</v>
      </c>
      <c r="L41" s="2">
        <v>96</v>
      </c>
      <c r="M41" s="2">
        <v>60</v>
      </c>
      <c r="N41" s="2">
        <v>70</v>
      </c>
      <c r="O41" s="2">
        <f t="shared" si="0"/>
        <v>309</v>
      </c>
      <c r="P41" s="2">
        <v>80</v>
      </c>
      <c r="Q41" s="2">
        <v>58</v>
      </c>
      <c r="R41" s="2">
        <v>27</v>
      </c>
      <c r="S41" s="2">
        <v>85</v>
      </c>
      <c r="T41" s="2">
        <v>76</v>
      </c>
      <c r="U41" s="2">
        <v>80</v>
      </c>
      <c r="V41" s="2">
        <f t="shared" si="1"/>
        <v>321</v>
      </c>
      <c r="W41" s="16"/>
      <c r="X41" s="16"/>
      <c r="Y41" s="16"/>
      <c r="Z41" s="16"/>
      <c r="AA41" s="16"/>
      <c r="AB41" s="16"/>
      <c r="AC41" s="16"/>
    </row>
    <row r="42" spans="1:29" x14ac:dyDescent="0.25">
      <c r="A42" s="22" t="s">
        <v>378</v>
      </c>
      <c r="B42" s="2">
        <v>68</v>
      </c>
      <c r="C42" s="2">
        <v>68.5</v>
      </c>
      <c r="D42" s="2">
        <v>33</v>
      </c>
      <c r="E42" s="2">
        <v>101.5</v>
      </c>
      <c r="F42" s="2">
        <v>86</v>
      </c>
      <c r="G42" s="2">
        <v>94</v>
      </c>
      <c r="H42" s="2">
        <v>349.5</v>
      </c>
      <c r="I42" s="2">
        <v>86</v>
      </c>
      <c r="J42" s="2">
        <v>46</v>
      </c>
      <c r="K42" s="2">
        <v>39</v>
      </c>
      <c r="L42" s="2">
        <v>85</v>
      </c>
      <c r="M42" s="2">
        <v>70</v>
      </c>
      <c r="N42" s="2">
        <v>85</v>
      </c>
      <c r="O42" s="2">
        <f t="shared" si="0"/>
        <v>326</v>
      </c>
      <c r="P42" s="2">
        <v>88</v>
      </c>
      <c r="Q42" s="2">
        <v>61</v>
      </c>
      <c r="R42" s="2">
        <v>24</v>
      </c>
      <c r="S42" s="2">
        <v>85</v>
      </c>
      <c r="T42" s="2">
        <v>86</v>
      </c>
      <c r="U42" s="2">
        <v>89</v>
      </c>
      <c r="V42" s="2">
        <f t="shared" si="1"/>
        <v>348</v>
      </c>
      <c r="W42" s="16"/>
      <c r="X42" s="16"/>
      <c r="Y42" s="16"/>
      <c r="Z42" s="16"/>
      <c r="AA42" s="16"/>
      <c r="AB42" s="16"/>
      <c r="AC42" s="16"/>
    </row>
    <row r="43" spans="1:29" x14ac:dyDescent="0.25">
      <c r="A43" s="22" t="s">
        <v>379</v>
      </c>
      <c r="B43" s="2">
        <v>68</v>
      </c>
      <c r="C43" s="2">
        <v>64</v>
      </c>
      <c r="D43" s="2">
        <v>38</v>
      </c>
      <c r="E43" s="2">
        <v>102</v>
      </c>
      <c r="F43" s="2">
        <v>84</v>
      </c>
      <c r="G43" s="2">
        <v>84</v>
      </c>
      <c r="H43" s="2">
        <v>338</v>
      </c>
      <c r="I43" s="2">
        <v>67</v>
      </c>
      <c r="J43" s="2">
        <v>50</v>
      </c>
      <c r="K43" s="2">
        <v>46</v>
      </c>
      <c r="L43" s="2">
        <v>96</v>
      </c>
      <c r="M43" s="2">
        <v>66</v>
      </c>
      <c r="N43" s="2">
        <v>94</v>
      </c>
      <c r="O43" s="2">
        <f t="shared" si="0"/>
        <v>323</v>
      </c>
      <c r="P43" s="2">
        <v>77</v>
      </c>
      <c r="Q43" s="2">
        <v>56</v>
      </c>
      <c r="R43" s="2">
        <v>26</v>
      </c>
      <c r="S43" s="2">
        <v>82</v>
      </c>
      <c r="T43" s="2">
        <v>84</v>
      </c>
      <c r="U43" s="2">
        <v>86</v>
      </c>
      <c r="V43" s="2">
        <f t="shared" si="1"/>
        <v>329</v>
      </c>
      <c r="W43" s="16"/>
      <c r="X43" s="16"/>
      <c r="Y43" s="16"/>
      <c r="Z43" s="16"/>
      <c r="AA43" s="16"/>
      <c r="AB43" s="16"/>
      <c r="AC43" s="16"/>
    </row>
    <row r="44" spans="1:29" x14ac:dyDescent="0.25">
      <c r="A44" s="22" t="s">
        <v>380</v>
      </c>
      <c r="B44" s="2">
        <v>49</v>
      </c>
      <c r="C44" s="2">
        <v>61</v>
      </c>
      <c r="D44" s="2">
        <v>30</v>
      </c>
      <c r="E44" s="2">
        <v>91</v>
      </c>
      <c r="F44" s="2">
        <v>80</v>
      </c>
      <c r="G44" s="2">
        <v>85</v>
      </c>
      <c r="H44" s="2">
        <v>305</v>
      </c>
      <c r="I44" s="2">
        <v>59</v>
      </c>
      <c r="J44" s="2">
        <v>38</v>
      </c>
      <c r="K44" s="2">
        <v>20</v>
      </c>
      <c r="L44" s="2">
        <v>58</v>
      </c>
      <c r="M44" s="2">
        <v>72</v>
      </c>
      <c r="N44" s="2">
        <v>73</v>
      </c>
      <c r="O44" s="2">
        <f t="shared" si="0"/>
        <v>262</v>
      </c>
      <c r="P44" s="2">
        <v>64</v>
      </c>
      <c r="Q44" s="2">
        <v>51</v>
      </c>
      <c r="R44" s="2">
        <v>23</v>
      </c>
      <c r="S44" s="2">
        <v>74</v>
      </c>
      <c r="T44" s="2">
        <v>64</v>
      </c>
      <c r="U44" s="2">
        <v>64</v>
      </c>
      <c r="V44" s="2">
        <f t="shared" si="1"/>
        <v>266</v>
      </c>
      <c r="W44" s="3">
        <v>72</v>
      </c>
      <c r="X44" s="3">
        <v>66</v>
      </c>
      <c r="Y44" s="3">
        <v>61</v>
      </c>
      <c r="Z44" s="3">
        <v>19</v>
      </c>
      <c r="AA44" s="3">
        <v>48</v>
      </c>
      <c r="AB44" s="3">
        <v>67</v>
      </c>
      <c r="AC44" s="3">
        <f t="shared" si="3"/>
        <v>266</v>
      </c>
    </row>
    <row r="45" spans="1:29" x14ac:dyDescent="0.25">
      <c r="A45" s="12" t="s">
        <v>381</v>
      </c>
      <c r="B45" s="2"/>
      <c r="C45" s="2"/>
      <c r="D45" s="2"/>
      <c r="E45" s="2"/>
      <c r="F45" s="2"/>
      <c r="G45" s="2"/>
      <c r="H45" s="2"/>
      <c r="I45" s="2">
        <v>69</v>
      </c>
      <c r="J45" s="2">
        <v>32</v>
      </c>
      <c r="K45" s="2">
        <v>26</v>
      </c>
      <c r="L45" s="2">
        <v>58</v>
      </c>
      <c r="M45" s="2">
        <v>54</v>
      </c>
      <c r="N45" s="2">
        <v>58</v>
      </c>
      <c r="O45" s="2">
        <f t="shared" si="0"/>
        <v>239</v>
      </c>
      <c r="P45" s="2">
        <v>76</v>
      </c>
      <c r="Q45" s="2">
        <v>45</v>
      </c>
      <c r="R45" s="2">
        <v>13</v>
      </c>
      <c r="S45" s="2">
        <v>58</v>
      </c>
      <c r="T45" s="2">
        <v>66</v>
      </c>
      <c r="U45" s="2">
        <v>57</v>
      </c>
      <c r="V45" s="2">
        <f t="shared" si="1"/>
        <v>257</v>
      </c>
      <c r="W45" s="3">
        <v>68</v>
      </c>
      <c r="X45" s="3">
        <v>48</v>
      </c>
      <c r="Y45" s="3">
        <v>74</v>
      </c>
      <c r="Z45" s="3">
        <v>18</v>
      </c>
      <c r="AA45" s="3">
        <v>40</v>
      </c>
      <c r="AB45" s="3">
        <v>58</v>
      </c>
      <c r="AC45" s="3">
        <f t="shared" si="3"/>
        <v>248</v>
      </c>
    </row>
    <row r="46" spans="1:29" x14ac:dyDescent="0.25">
      <c r="A46" s="12" t="s">
        <v>382</v>
      </c>
      <c r="B46" s="2"/>
      <c r="C46" s="2"/>
      <c r="D46" s="2"/>
      <c r="E46" s="2"/>
      <c r="F46" s="2"/>
      <c r="G46" s="2"/>
      <c r="H46" s="2"/>
      <c r="I46" s="2">
        <v>80</v>
      </c>
      <c r="J46" s="2">
        <v>54</v>
      </c>
      <c r="K46" s="2">
        <v>51</v>
      </c>
      <c r="L46" s="2">
        <v>105</v>
      </c>
      <c r="M46" s="2">
        <v>76</v>
      </c>
      <c r="N46" s="2">
        <v>73</v>
      </c>
      <c r="O46" s="2">
        <f t="shared" si="0"/>
        <v>334</v>
      </c>
      <c r="P46" s="2">
        <v>80</v>
      </c>
      <c r="Q46" s="2">
        <v>65</v>
      </c>
      <c r="R46" s="2">
        <v>37</v>
      </c>
      <c r="S46" s="2">
        <v>102</v>
      </c>
      <c r="T46" s="2">
        <v>92</v>
      </c>
      <c r="U46" s="2">
        <v>74</v>
      </c>
      <c r="V46" s="2">
        <f t="shared" si="1"/>
        <v>348</v>
      </c>
      <c r="W46" s="3">
        <v>94</v>
      </c>
      <c r="X46" s="3">
        <v>75</v>
      </c>
      <c r="Y46" s="3">
        <v>73</v>
      </c>
      <c r="Z46" s="3">
        <v>50</v>
      </c>
      <c r="AA46" s="3">
        <v>72</v>
      </c>
      <c r="AB46" s="3">
        <v>122</v>
      </c>
      <c r="AC46" s="3">
        <f t="shared" si="3"/>
        <v>364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W1:AC1"/>
    <mergeCell ref="B1:H1"/>
    <mergeCell ref="I1:O1"/>
    <mergeCell ref="P1:V1"/>
  </mergeCells>
  <phoneticPr fontId="15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12"/>
  <sheetViews>
    <sheetView zoomScale="130" zoomScaleNormal="130" workbookViewId="0">
      <pane xSplit="1" topLeftCell="B1" activePane="topRight" state="frozen"/>
      <selection pane="topRight" activeCell="E6" sqref="E6"/>
    </sheetView>
  </sheetViews>
  <sheetFormatPr defaultColWidth="9.6328125" defaultRowHeight="14" x14ac:dyDescent="0.25"/>
  <cols>
    <col min="1" max="1" width="9.08984375" bestFit="1" customWidth="1"/>
    <col min="2" max="4" width="5.26953125" bestFit="1" customWidth="1"/>
    <col min="5" max="5" width="9.26953125" bestFit="1" customWidth="1"/>
    <col min="6" max="9" width="5.26953125" bestFit="1" customWidth="1"/>
    <col min="10" max="10" width="9.26953125" bestFit="1" customWidth="1"/>
    <col min="11" max="14" width="5.26953125" bestFit="1" customWidth="1"/>
    <col min="15" max="15" width="9.26953125" bestFit="1" customWidth="1"/>
    <col min="16" max="19" width="5.26953125" bestFit="1" customWidth="1"/>
    <col min="20" max="20" width="9.26953125" bestFit="1" customWidth="1"/>
    <col min="21" max="21" width="5.26953125" bestFit="1" customWidth="1"/>
  </cols>
  <sheetData>
    <row r="1" spans="1:21" ht="17.5" x14ac:dyDescent="0.25">
      <c r="A1" s="18"/>
      <c r="B1" s="101" t="s">
        <v>0</v>
      </c>
      <c r="C1" s="102"/>
      <c r="D1" s="102"/>
      <c r="E1" s="102"/>
      <c r="F1" s="103"/>
      <c r="G1" s="101" t="s">
        <v>1</v>
      </c>
      <c r="H1" s="102"/>
      <c r="I1" s="102"/>
      <c r="J1" s="102"/>
      <c r="K1" s="103"/>
      <c r="L1" s="101" t="s">
        <v>2</v>
      </c>
      <c r="M1" s="102"/>
      <c r="N1" s="102"/>
      <c r="O1" s="102"/>
      <c r="P1" s="103"/>
      <c r="Q1" s="101" t="s">
        <v>38</v>
      </c>
      <c r="R1" s="102"/>
      <c r="S1" s="102"/>
      <c r="T1" s="102"/>
      <c r="U1" s="103"/>
    </row>
    <row r="2" spans="1:21" ht="17.5" x14ac:dyDescent="0.25">
      <c r="A2" s="9" t="s">
        <v>5</v>
      </c>
      <c r="B2" s="12" t="s">
        <v>3</v>
      </c>
      <c r="C2" s="12" t="s">
        <v>4</v>
      </c>
      <c r="D2" s="77" t="s">
        <v>532</v>
      </c>
      <c r="E2" s="77" t="s">
        <v>533</v>
      </c>
      <c r="F2" s="12" t="s">
        <v>9</v>
      </c>
      <c r="G2" s="12" t="s">
        <v>3</v>
      </c>
      <c r="H2" s="12" t="s">
        <v>4</v>
      </c>
      <c r="I2" s="77" t="s">
        <v>532</v>
      </c>
      <c r="J2" s="77" t="s">
        <v>533</v>
      </c>
      <c r="K2" s="12" t="s">
        <v>9</v>
      </c>
      <c r="L2" s="12" t="s">
        <v>3</v>
      </c>
      <c r="M2" s="12" t="s">
        <v>4</v>
      </c>
      <c r="N2" s="77" t="s">
        <v>532</v>
      </c>
      <c r="O2" s="77" t="s">
        <v>533</v>
      </c>
      <c r="P2" s="12" t="s">
        <v>9</v>
      </c>
      <c r="Q2" s="12" t="s">
        <v>3</v>
      </c>
      <c r="R2" s="12" t="s">
        <v>4</v>
      </c>
      <c r="S2" s="77" t="s">
        <v>532</v>
      </c>
      <c r="T2" s="77" t="s">
        <v>533</v>
      </c>
      <c r="U2" s="12" t="s">
        <v>9</v>
      </c>
    </row>
    <row r="3" spans="1:21" ht="17.5" x14ac:dyDescent="0.25">
      <c r="A3" s="9" t="s">
        <v>383</v>
      </c>
      <c r="B3" s="2">
        <v>68</v>
      </c>
      <c r="C3" s="2">
        <v>42</v>
      </c>
      <c r="D3" s="2">
        <v>65</v>
      </c>
      <c r="E3" s="2">
        <v>111</v>
      </c>
      <c r="F3" s="2">
        <f t="shared" ref="F3:F6" si="0">B3+C3+D3+E3</f>
        <v>286</v>
      </c>
      <c r="G3" s="2">
        <v>70</v>
      </c>
      <c r="H3" s="2">
        <v>16</v>
      </c>
      <c r="I3" s="2">
        <v>70</v>
      </c>
      <c r="J3" s="2">
        <v>97</v>
      </c>
      <c r="K3" s="2">
        <f>G3+H3+I3+J3</f>
        <v>253</v>
      </c>
      <c r="L3" s="2">
        <v>62</v>
      </c>
      <c r="M3" s="2">
        <v>48</v>
      </c>
      <c r="N3" s="2">
        <v>62</v>
      </c>
      <c r="O3" s="2">
        <v>114</v>
      </c>
      <c r="P3" s="2">
        <f>L3+M3+N3+O3</f>
        <v>286</v>
      </c>
      <c r="Q3" s="2">
        <v>78</v>
      </c>
      <c r="R3" s="2">
        <v>38</v>
      </c>
      <c r="S3" s="2">
        <v>56</v>
      </c>
      <c r="T3" s="2">
        <v>89</v>
      </c>
      <c r="U3" s="2">
        <v>261</v>
      </c>
    </row>
    <row r="4" spans="1:21" ht="17.5" x14ac:dyDescent="0.25">
      <c r="A4" s="9" t="s">
        <v>384</v>
      </c>
      <c r="B4" s="2">
        <v>69</v>
      </c>
      <c r="C4" s="2">
        <v>23</v>
      </c>
      <c r="D4" s="2">
        <v>66</v>
      </c>
      <c r="E4" s="2">
        <v>124</v>
      </c>
      <c r="F4" s="2">
        <f t="shared" si="0"/>
        <v>282</v>
      </c>
      <c r="G4" s="2">
        <v>60</v>
      </c>
      <c r="H4" s="2">
        <v>29</v>
      </c>
      <c r="I4" s="2">
        <v>53</v>
      </c>
      <c r="J4" s="2">
        <v>127</v>
      </c>
      <c r="K4" s="2">
        <f t="shared" ref="K4:K12" si="1">G4+H4+I4+J4</f>
        <v>269</v>
      </c>
      <c r="L4" s="2">
        <v>70</v>
      </c>
      <c r="M4" s="2">
        <v>26</v>
      </c>
      <c r="N4" s="2">
        <v>62</v>
      </c>
      <c r="O4" s="2">
        <v>126</v>
      </c>
      <c r="P4" s="2">
        <f t="shared" ref="P4:P12" si="2">L4+M4+N4+O4</f>
        <v>284</v>
      </c>
      <c r="Q4" s="2">
        <v>72</v>
      </c>
      <c r="R4" s="2">
        <v>31</v>
      </c>
      <c r="S4" s="2">
        <v>97</v>
      </c>
      <c r="T4" s="2">
        <v>110</v>
      </c>
      <c r="U4" s="2">
        <v>310</v>
      </c>
    </row>
    <row r="5" spans="1:21" ht="17.5" x14ac:dyDescent="0.25">
      <c r="A5" s="9" t="s">
        <v>385</v>
      </c>
      <c r="B5" s="1">
        <v>72</v>
      </c>
      <c r="C5" s="2">
        <v>48</v>
      </c>
      <c r="D5" s="2">
        <v>86</v>
      </c>
      <c r="E5" s="2">
        <v>84</v>
      </c>
      <c r="F5" s="2">
        <f t="shared" si="0"/>
        <v>290</v>
      </c>
      <c r="G5" s="2">
        <v>72</v>
      </c>
      <c r="H5" s="2">
        <v>44</v>
      </c>
      <c r="I5" s="2">
        <v>78</v>
      </c>
      <c r="J5" s="2">
        <v>91</v>
      </c>
      <c r="K5" s="2">
        <f t="shared" si="1"/>
        <v>285</v>
      </c>
      <c r="L5" s="2">
        <v>74</v>
      </c>
      <c r="M5" s="2">
        <v>46</v>
      </c>
      <c r="N5" s="2">
        <v>82</v>
      </c>
      <c r="O5" s="2">
        <v>89</v>
      </c>
      <c r="P5" s="2">
        <f t="shared" si="2"/>
        <v>291</v>
      </c>
      <c r="Q5" s="2">
        <v>82</v>
      </c>
      <c r="R5" s="2">
        <v>44</v>
      </c>
      <c r="S5" s="2">
        <v>100</v>
      </c>
      <c r="T5" s="2">
        <v>91</v>
      </c>
      <c r="U5" s="2">
        <v>317</v>
      </c>
    </row>
    <row r="6" spans="1:21" ht="17.5" x14ac:dyDescent="0.25">
      <c r="A6" s="9" t="s">
        <v>386</v>
      </c>
      <c r="B6" s="2">
        <v>60</v>
      </c>
      <c r="C6" s="2">
        <v>40</v>
      </c>
      <c r="D6" s="2">
        <v>56</v>
      </c>
      <c r="E6" s="2">
        <v>89</v>
      </c>
      <c r="F6" s="2">
        <f t="shared" si="0"/>
        <v>245</v>
      </c>
      <c r="G6" s="2">
        <v>50</v>
      </c>
      <c r="H6" s="2">
        <v>36</v>
      </c>
      <c r="I6" s="2">
        <v>62</v>
      </c>
      <c r="J6" s="2">
        <v>80</v>
      </c>
      <c r="K6" s="2">
        <f t="shared" si="1"/>
        <v>228</v>
      </c>
      <c r="L6" s="2">
        <v>56</v>
      </c>
      <c r="M6" s="2">
        <v>16</v>
      </c>
      <c r="N6" s="2">
        <v>81</v>
      </c>
      <c r="O6" s="2">
        <v>61</v>
      </c>
      <c r="P6" s="2">
        <f t="shared" si="2"/>
        <v>214</v>
      </c>
      <c r="Q6" s="2">
        <v>56</v>
      </c>
      <c r="R6" s="2">
        <v>48</v>
      </c>
      <c r="S6" s="2">
        <v>94</v>
      </c>
      <c r="T6" s="2">
        <v>80</v>
      </c>
      <c r="U6" s="2">
        <v>278</v>
      </c>
    </row>
    <row r="7" spans="1:21" ht="17.5" x14ac:dyDescent="0.25">
      <c r="A7" s="9" t="s">
        <v>387</v>
      </c>
      <c r="B7" s="2"/>
      <c r="C7" s="2"/>
      <c r="D7" s="2"/>
      <c r="E7" s="2"/>
      <c r="F7" s="12"/>
      <c r="G7" s="2"/>
      <c r="H7" s="2"/>
      <c r="I7" s="2"/>
      <c r="J7" s="2"/>
      <c r="K7" s="12"/>
      <c r="L7" s="2"/>
      <c r="M7" s="2"/>
      <c r="N7" s="2"/>
      <c r="O7" s="2"/>
      <c r="P7" s="12"/>
      <c r="Q7" s="2"/>
      <c r="R7" s="2"/>
      <c r="S7" s="2"/>
      <c r="T7" s="2"/>
      <c r="U7" s="12"/>
    </row>
    <row r="8" spans="1:21" ht="17.5" x14ac:dyDescent="0.25">
      <c r="A8" s="9" t="s">
        <v>388</v>
      </c>
      <c r="B8" s="2">
        <v>36</v>
      </c>
      <c r="C8" s="2">
        <v>40</v>
      </c>
      <c r="D8" s="2">
        <v>41</v>
      </c>
      <c r="E8" s="2">
        <v>90</v>
      </c>
      <c r="F8" s="2">
        <f t="shared" ref="F8:F11" si="3">B8+C8+D8+E8</f>
        <v>207</v>
      </c>
      <c r="G8" s="2">
        <v>58</v>
      </c>
      <c r="H8" s="2">
        <v>26</v>
      </c>
      <c r="I8" s="2">
        <v>41</v>
      </c>
      <c r="J8" s="2">
        <v>96</v>
      </c>
      <c r="K8" s="2">
        <f t="shared" si="1"/>
        <v>221</v>
      </c>
      <c r="L8" s="2">
        <v>56</v>
      </c>
      <c r="M8" s="2">
        <v>31</v>
      </c>
      <c r="N8" s="2">
        <v>66</v>
      </c>
      <c r="O8" s="2">
        <v>83</v>
      </c>
      <c r="P8" s="2">
        <f t="shared" si="2"/>
        <v>236</v>
      </c>
      <c r="Q8" s="2">
        <v>58</v>
      </c>
      <c r="R8" s="2">
        <v>56</v>
      </c>
      <c r="S8" s="2">
        <v>55</v>
      </c>
      <c r="T8" s="2">
        <v>92</v>
      </c>
      <c r="U8" s="2">
        <v>261</v>
      </c>
    </row>
    <row r="9" spans="1:21" ht="17.5" x14ac:dyDescent="0.25">
      <c r="A9" s="9" t="s">
        <v>389</v>
      </c>
      <c r="B9" s="2">
        <v>50</v>
      </c>
      <c r="C9" s="2">
        <v>43</v>
      </c>
      <c r="D9" s="2">
        <v>36</v>
      </c>
      <c r="E9" s="2">
        <v>80</v>
      </c>
      <c r="F9" s="2">
        <f t="shared" si="3"/>
        <v>209</v>
      </c>
      <c r="G9" s="2"/>
      <c r="H9" s="2"/>
      <c r="I9" s="2"/>
      <c r="J9" s="2"/>
      <c r="K9" s="12"/>
      <c r="L9" s="2">
        <v>58</v>
      </c>
      <c r="M9" s="2">
        <v>48</v>
      </c>
      <c r="N9" s="2">
        <v>51</v>
      </c>
      <c r="O9" s="2">
        <v>79</v>
      </c>
      <c r="P9" s="2">
        <f t="shared" si="2"/>
        <v>236</v>
      </c>
      <c r="Q9" s="2">
        <v>66</v>
      </c>
      <c r="R9" s="2">
        <v>48</v>
      </c>
      <c r="S9" s="2">
        <v>60</v>
      </c>
      <c r="T9" s="2">
        <v>81</v>
      </c>
      <c r="U9" s="2">
        <v>255</v>
      </c>
    </row>
    <row r="10" spans="1:21" ht="17.5" x14ac:dyDescent="0.25">
      <c r="A10" s="9" t="s">
        <v>390</v>
      </c>
      <c r="B10" s="2">
        <v>60</v>
      </c>
      <c r="C10" s="2">
        <v>72</v>
      </c>
      <c r="D10" s="2">
        <v>78</v>
      </c>
      <c r="E10" s="2">
        <v>110</v>
      </c>
      <c r="F10" s="2">
        <f t="shared" si="3"/>
        <v>320</v>
      </c>
      <c r="G10" s="2">
        <v>68</v>
      </c>
      <c r="H10" s="2">
        <v>73</v>
      </c>
      <c r="I10" s="2">
        <v>67</v>
      </c>
      <c r="J10" s="2">
        <v>116</v>
      </c>
      <c r="K10" s="2">
        <f t="shared" si="1"/>
        <v>324</v>
      </c>
      <c r="L10" s="2"/>
      <c r="M10" s="2"/>
      <c r="N10" s="2"/>
      <c r="O10" s="2"/>
      <c r="P10" s="12"/>
      <c r="Q10" s="2">
        <v>78</v>
      </c>
      <c r="R10" s="2">
        <v>79</v>
      </c>
      <c r="S10" s="2">
        <v>80</v>
      </c>
      <c r="T10" s="2">
        <v>101</v>
      </c>
      <c r="U10" s="2">
        <v>338</v>
      </c>
    </row>
    <row r="11" spans="1:21" ht="17.5" x14ac:dyDescent="0.25">
      <c r="A11" s="10" t="s">
        <v>100</v>
      </c>
      <c r="B11" s="15">
        <v>80</v>
      </c>
      <c r="C11" s="15">
        <v>87</v>
      </c>
      <c r="D11" s="15">
        <v>83</v>
      </c>
      <c r="E11" s="15">
        <v>114</v>
      </c>
      <c r="F11" s="15">
        <f t="shared" si="3"/>
        <v>364</v>
      </c>
      <c r="G11" s="2">
        <v>82</v>
      </c>
      <c r="H11" s="2">
        <v>74</v>
      </c>
      <c r="I11" s="2">
        <v>73</v>
      </c>
      <c r="J11" s="2">
        <v>124</v>
      </c>
      <c r="K11" s="2">
        <f t="shared" si="1"/>
        <v>353</v>
      </c>
      <c r="L11" s="2">
        <v>88</v>
      </c>
      <c r="M11" s="2">
        <v>82</v>
      </c>
      <c r="N11" s="2">
        <v>65</v>
      </c>
      <c r="O11" s="2">
        <v>110</v>
      </c>
      <c r="P11" s="2">
        <f t="shared" si="2"/>
        <v>345</v>
      </c>
      <c r="Q11" s="2"/>
      <c r="R11" s="2"/>
      <c r="S11" s="2"/>
      <c r="T11" s="2"/>
      <c r="U11" s="12"/>
    </row>
    <row r="12" spans="1:21" ht="17.5" x14ac:dyDescent="0.25">
      <c r="A12" s="6" t="s">
        <v>391</v>
      </c>
      <c r="B12" s="2"/>
      <c r="C12" s="2"/>
      <c r="D12" s="2"/>
      <c r="E12" s="2"/>
      <c r="F12" s="12"/>
      <c r="G12" s="2">
        <v>54</v>
      </c>
      <c r="H12" s="2">
        <v>72</v>
      </c>
      <c r="I12" s="2">
        <v>68</v>
      </c>
      <c r="J12" s="2">
        <v>107</v>
      </c>
      <c r="K12" s="2">
        <f t="shared" si="1"/>
        <v>301</v>
      </c>
      <c r="L12" s="2">
        <v>66</v>
      </c>
      <c r="M12" s="2">
        <v>51</v>
      </c>
      <c r="N12" s="2">
        <v>65</v>
      </c>
      <c r="O12" s="2">
        <v>90</v>
      </c>
      <c r="P12" s="2">
        <f t="shared" si="2"/>
        <v>272</v>
      </c>
      <c r="Q12" s="2">
        <v>66</v>
      </c>
      <c r="R12" s="2">
        <v>77</v>
      </c>
      <c r="S12" s="2">
        <v>74</v>
      </c>
      <c r="T12" s="2">
        <v>90</v>
      </c>
      <c r="U12" s="2">
        <v>307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B1:F1"/>
    <mergeCell ref="Q1:U1"/>
    <mergeCell ref="G1:K1"/>
    <mergeCell ref="L1:P1"/>
  </mergeCells>
  <phoneticPr fontId="15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52"/>
  <sheetViews>
    <sheetView topLeftCell="G1" zoomScale="70" zoomScaleNormal="70" workbookViewId="0">
      <selection activeCell="W2" sqref="W2"/>
    </sheetView>
  </sheetViews>
  <sheetFormatPr defaultColWidth="9.6328125" defaultRowHeight="14" x14ac:dyDescent="0.25"/>
  <cols>
    <col min="1" max="1" width="9.54296875" bestFit="1" customWidth="1"/>
    <col min="2" max="4" width="5.453125" bestFit="1" customWidth="1"/>
    <col min="5" max="5" width="9.26953125" bestFit="1" customWidth="1"/>
    <col min="6" max="6" width="26.7265625" bestFit="1" customWidth="1"/>
    <col min="7" max="7" width="21" bestFit="1" customWidth="1"/>
    <col min="8" max="11" width="5.453125" bestFit="1" customWidth="1"/>
    <col min="12" max="12" width="9.26953125" bestFit="1" customWidth="1"/>
    <col min="13" max="13" width="26.7265625" bestFit="1" customWidth="1"/>
    <col min="14" max="14" width="21" bestFit="1" customWidth="1"/>
    <col min="15" max="18" width="5.453125" bestFit="1" customWidth="1"/>
    <col min="19" max="19" width="9.26953125" bestFit="1" customWidth="1"/>
    <col min="20" max="20" width="26.7265625" bestFit="1" customWidth="1"/>
    <col min="21" max="21" width="21" bestFit="1" customWidth="1"/>
    <col min="22" max="25" width="5.453125" bestFit="1" customWidth="1"/>
    <col min="26" max="26" width="9.26953125" bestFit="1" customWidth="1"/>
    <col min="27" max="27" width="26.7265625" bestFit="1" customWidth="1"/>
    <col min="28" max="28" width="21" bestFit="1" customWidth="1"/>
    <col min="29" max="29" width="5.453125" bestFit="1" customWidth="1"/>
  </cols>
  <sheetData>
    <row r="1" spans="1:29" ht="17.5" x14ac:dyDescent="0.25">
      <c r="A1" s="4"/>
      <c r="B1" s="97" t="s">
        <v>0</v>
      </c>
      <c r="C1" s="97"/>
      <c r="D1" s="97"/>
      <c r="E1" s="97"/>
      <c r="F1" s="97"/>
      <c r="G1" s="97"/>
      <c r="H1" s="97"/>
      <c r="I1" s="97" t="s">
        <v>1</v>
      </c>
      <c r="J1" s="97"/>
      <c r="K1" s="97"/>
      <c r="L1" s="97"/>
      <c r="M1" s="97"/>
      <c r="N1" s="97"/>
      <c r="O1" s="97"/>
      <c r="P1" s="97" t="s">
        <v>2</v>
      </c>
      <c r="Q1" s="97"/>
      <c r="R1" s="97"/>
      <c r="S1" s="97"/>
      <c r="T1" s="97"/>
      <c r="U1" s="97"/>
      <c r="V1" s="97"/>
      <c r="W1" s="108" t="s">
        <v>525</v>
      </c>
      <c r="X1" s="97"/>
      <c r="Y1" s="97"/>
      <c r="Z1" s="97"/>
      <c r="AA1" s="97"/>
      <c r="AB1" s="97"/>
      <c r="AC1" s="97"/>
    </row>
    <row r="2" spans="1:29" ht="17.5" x14ac:dyDescent="0.25">
      <c r="A2" s="19" t="s">
        <v>5</v>
      </c>
      <c r="B2" s="27" t="s">
        <v>3</v>
      </c>
      <c r="C2" s="27" t="s">
        <v>4</v>
      </c>
      <c r="D2" s="76" t="s">
        <v>530</v>
      </c>
      <c r="E2" s="27" t="s">
        <v>8</v>
      </c>
      <c r="F2" s="75" t="s">
        <v>534</v>
      </c>
      <c r="G2" s="75" t="s">
        <v>320</v>
      </c>
      <c r="H2" s="27" t="s">
        <v>9</v>
      </c>
      <c r="I2" s="27" t="s">
        <v>3</v>
      </c>
      <c r="J2" s="27" t="s">
        <v>4</v>
      </c>
      <c r="K2" s="76" t="s">
        <v>530</v>
      </c>
      <c r="L2" s="27" t="s">
        <v>8</v>
      </c>
      <c r="M2" s="75" t="s">
        <v>534</v>
      </c>
      <c r="N2" s="75" t="s">
        <v>320</v>
      </c>
      <c r="O2" s="27" t="s">
        <v>9</v>
      </c>
      <c r="P2" s="27" t="s">
        <v>3</v>
      </c>
      <c r="Q2" s="27" t="s">
        <v>4</v>
      </c>
      <c r="R2" s="76" t="s">
        <v>530</v>
      </c>
      <c r="S2" s="27" t="s">
        <v>8</v>
      </c>
      <c r="T2" s="75" t="s">
        <v>534</v>
      </c>
      <c r="U2" s="75" t="s">
        <v>320</v>
      </c>
      <c r="V2" s="27" t="s">
        <v>9</v>
      </c>
      <c r="W2" s="27" t="s">
        <v>3</v>
      </c>
      <c r="X2" s="27" t="s">
        <v>4</v>
      </c>
      <c r="Y2" s="76" t="s">
        <v>530</v>
      </c>
      <c r="Z2" s="27" t="s">
        <v>8</v>
      </c>
      <c r="AA2" s="75" t="s">
        <v>534</v>
      </c>
      <c r="AB2" s="75" t="s">
        <v>320</v>
      </c>
      <c r="AC2" s="27" t="s">
        <v>9</v>
      </c>
    </row>
    <row r="3" spans="1:29" ht="17.5" x14ac:dyDescent="0.25">
      <c r="A3" s="19" t="s">
        <v>392</v>
      </c>
      <c r="B3" s="20">
        <v>86</v>
      </c>
      <c r="C3" s="20">
        <v>76</v>
      </c>
      <c r="D3" s="20">
        <v>65</v>
      </c>
      <c r="E3" s="20">
        <v>74</v>
      </c>
      <c r="F3" s="20">
        <v>48</v>
      </c>
      <c r="G3" s="27">
        <v>26</v>
      </c>
      <c r="H3" s="64">
        <f>SUM(B3:E3)</f>
        <v>301</v>
      </c>
      <c r="I3" s="64">
        <v>86</v>
      </c>
      <c r="J3" s="64">
        <v>78</v>
      </c>
      <c r="K3" s="64">
        <v>82</v>
      </c>
      <c r="L3" s="64">
        <v>88</v>
      </c>
      <c r="M3" s="64">
        <v>46</v>
      </c>
      <c r="N3" s="64">
        <v>42</v>
      </c>
      <c r="O3" s="64">
        <v>334</v>
      </c>
      <c r="P3" s="64">
        <v>90</v>
      </c>
      <c r="Q3" s="64">
        <v>69</v>
      </c>
      <c r="R3" s="64">
        <v>67</v>
      </c>
      <c r="S3" s="71">
        <v>105</v>
      </c>
      <c r="T3" s="64">
        <v>47</v>
      </c>
      <c r="U3" s="64">
        <v>58</v>
      </c>
      <c r="V3" s="64">
        <v>331</v>
      </c>
      <c r="W3" s="64">
        <v>88</v>
      </c>
      <c r="X3" s="64">
        <v>78</v>
      </c>
      <c r="Y3" s="64">
        <v>86</v>
      </c>
      <c r="Z3" s="71">
        <f>SUM(AA3:AB3)</f>
        <v>121</v>
      </c>
      <c r="AA3" s="64">
        <v>53</v>
      </c>
      <c r="AB3" s="64">
        <v>68</v>
      </c>
      <c r="AC3" s="64">
        <f>SUM(W3:Z3)</f>
        <v>373</v>
      </c>
    </row>
    <row r="4" spans="1:29" ht="17.5" x14ac:dyDescent="0.25">
      <c r="A4" s="19" t="s">
        <v>393</v>
      </c>
      <c r="B4" s="20">
        <v>72</v>
      </c>
      <c r="C4" s="20">
        <v>57</v>
      </c>
      <c r="D4" s="20">
        <v>47</v>
      </c>
      <c r="E4" s="20">
        <v>66</v>
      </c>
      <c r="F4" s="20">
        <v>42</v>
      </c>
      <c r="G4" s="20">
        <v>24</v>
      </c>
      <c r="H4" s="64">
        <f t="shared" ref="H4:H49" si="0">SUM(B4:E4)</f>
        <v>242</v>
      </c>
      <c r="I4" s="64">
        <v>64</v>
      </c>
      <c r="J4" s="64">
        <v>62</v>
      </c>
      <c r="K4" s="64">
        <v>67</v>
      </c>
      <c r="L4" s="64">
        <v>90</v>
      </c>
      <c r="M4" s="64">
        <v>44</v>
      </c>
      <c r="N4" s="64">
        <v>46</v>
      </c>
      <c r="O4" s="64">
        <v>283</v>
      </c>
      <c r="P4" s="64">
        <v>62</v>
      </c>
      <c r="Q4" s="64">
        <v>54</v>
      </c>
      <c r="R4" s="64">
        <v>91</v>
      </c>
      <c r="S4" s="71">
        <v>94</v>
      </c>
      <c r="T4" s="64">
        <v>36</v>
      </c>
      <c r="U4" s="64">
        <v>58</v>
      </c>
      <c r="V4" s="64">
        <v>301</v>
      </c>
      <c r="W4" s="64">
        <v>80</v>
      </c>
      <c r="X4" s="64">
        <v>65</v>
      </c>
      <c r="Y4" s="64">
        <v>91</v>
      </c>
      <c r="Z4" s="71">
        <f t="shared" ref="Z4:Z9" si="1">SUM(AA4:AB4)</f>
        <v>98</v>
      </c>
      <c r="AA4" s="64">
        <v>46</v>
      </c>
      <c r="AB4" s="64">
        <v>52</v>
      </c>
      <c r="AC4" s="64">
        <f t="shared" ref="AC4:AC34" si="2">SUM(W4:Z4)</f>
        <v>334</v>
      </c>
    </row>
    <row r="5" spans="1:29" ht="17.5" x14ac:dyDescent="0.25">
      <c r="A5" s="19" t="s">
        <v>394</v>
      </c>
      <c r="B5" s="27"/>
      <c r="C5" s="27"/>
      <c r="D5" s="27"/>
      <c r="E5" s="27"/>
      <c r="F5" s="27"/>
      <c r="G5" s="27"/>
      <c r="H5" s="64">
        <f t="shared" si="0"/>
        <v>0</v>
      </c>
      <c r="I5" s="27"/>
      <c r="J5" s="27"/>
      <c r="K5" s="27"/>
      <c r="L5" s="27"/>
      <c r="M5" s="27"/>
      <c r="N5" s="27"/>
      <c r="O5" s="20"/>
      <c r="P5" s="71"/>
      <c r="Q5" s="71"/>
      <c r="R5" s="71"/>
      <c r="S5" s="71"/>
      <c r="T5" s="71"/>
      <c r="U5" s="71"/>
      <c r="V5" s="71"/>
      <c r="W5" s="71">
        <v>62</v>
      </c>
      <c r="X5" s="71">
        <v>32</v>
      </c>
      <c r="Y5" s="71">
        <v>63</v>
      </c>
      <c r="Z5" s="71">
        <f t="shared" si="1"/>
        <v>96</v>
      </c>
      <c r="AA5" s="71">
        <v>38</v>
      </c>
      <c r="AB5" s="71">
        <v>58</v>
      </c>
      <c r="AC5" s="64">
        <f t="shared" si="2"/>
        <v>253</v>
      </c>
    </row>
    <row r="6" spans="1:29" ht="17.5" x14ac:dyDescent="0.25">
      <c r="A6" s="19" t="s">
        <v>395</v>
      </c>
      <c r="B6" s="20">
        <v>88</v>
      </c>
      <c r="C6" s="20">
        <v>92</v>
      </c>
      <c r="D6" s="20">
        <v>50</v>
      </c>
      <c r="E6" s="20">
        <v>82</v>
      </c>
      <c r="F6" s="20">
        <v>52</v>
      </c>
      <c r="G6" s="20">
        <v>30</v>
      </c>
      <c r="H6" s="64">
        <f t="shared" si="0"/>
        <v>312</v>
      </c>
      <c r="I6" s="64">
        <v>78</v>
      </c>
      <c r="J6" s="64">
        <v>72</v>
      </c>
      <c r="K6" s="64">
        <v>63</v>
      </c>
      <c r="L6" s="64">
        <v>108</v>
      </c>
      <c r="M6" s="64">
        <v>70</v>
      </c>
      <c r="N6" s="64">
        <v>38</v>
      </c>
      <c r="O6" s="64">
        <v>321</v>
      </c>
      <c r="P6" s="64">
        <v>80</v>
      </c>
      <c r="Q6" s="64">
        <v>79</v>
      </c>
      <c r="R6" s="64">
        <v>85</v>
      </c>
      <c r="S6" s="71">
        <v>94</v>
      </c>
      <c r="T6" s="64">
        <v>46</v>
      </c>
      <c r="U6" s="64">
        <v>48</v>
      </c>
      <c r="V6" s="64">
        <v>338</v>
      </c>
      <c r="W6" s="64">
        <v>86</v>
      </c>
      <c r="X6" s="64">
        <v>79</v>
      </c>
      <c r="Y6" s="64">
        <v>71</v>
      </c>
      <c r="Z6" s="71">
        <f t="shared" si="1"/>
        <v>101</v>
      </c>
      <c r="AA6" s="64">
        <v>47</v>
      </c>
      <c r="AB6" s="64">
        <v>54</v>
      </c>
      <c r="AC6" s="64">
        <f t="shared" si="2"/>
        <v>337</v>
      </c>
    </row>
    <row r="7" spans="1:29" ht="17.5" x14ac:dyDescent="0.25">
      <c r="A7" s="19" t="s">
        <v>396</v>
      </c>
      <c r="B7" s="20">
        <v>74</v>
      </c>
      <c r="C7" s="20">
        <v>72</v>
      </c>
      <c r="D7" s="20">
        <v>85</v>
      </c>
      <c r="E7" s="20">
        <v>86</v>
      </c>
      <c r="F7" s="20">
        <v>52</v>
      </c>
      <c r="G7" s="20">
        <v>34</v>
      </c>
      <c r="H7" s="64">
        <f t="shared" si="0"/>
        <v>317</v>
      </c>
      <c r="I7" s="27"/>
      <c r="J7" s="27"/>
      <c r="K7" s="27"/>
      <c r="L7" s="27"/>
      <c r="M7" s="27"/>
      <c r="N7" s="27"/>
      <c r="O7" s="20"/>
      <c r="P7" s="64">
        <v>76</v>
      </c>
      <c r="Q7" s="64">
        <v>75</v>
      </c>
      <c r="R7" s="64">
        <v>80</v>
      </c>
      <c r="S7" s="71">
        <v>100</v>
      </c>
      <c r="T7" s="64">
        <v>38</v>
      </c>
      <c r="U7" s="64">
        <v>62</v>
      </c>
      <c r="V7" s="64">
        <v>331</v>
      </c>
      <c r="W7" s="71"/>
      <c r="X7" s="71"/>
      <c r="Y7" s="71"/>
      <c r="Z7" s="71"/>
      <c r="AA7" s="71"/>
      <c r="AB7" s="71"/>
      <c r="AC7" s="64"/>
    </row>
    <row r="8" spans="1:29" ht="17.5" x14ac:dyDescent="0.25">
      <c r="A8" s="19" t="s">
        <v>397</v>
      </c>
      <c r="B8" s="20">
        <v>66</v>
      </c>
      <c r="C8" s="20">
        <v>80</v>
      </c>
      <c r="D8" s="20">
        <v>60</v>
      </c>
      <c r="E8" s="20">
        <v>74</v>
      </c>
      <c r="F8" s="20">
        <v>42</v>
      </c>
      <c r="G8" s="20">
        <v>32</v>
      </c>
      <c r="H8" s="64">
        <f t="shared" si="0"/>
        <v>280</v>
      </c>
      <c r="I8" s="64">
        <v>66</v>
      </c>
      <c r="J8" s="64">
        <v>82</v>
      </c>
      <c r="K8" s="64">
        <v>66</v>
      </c>
      <c r="L8" s="64">
        <v>90</v>
      </c>
      <c r="M8" s="64">
        <v>48</v>
      </c>
      <c r="N8" s="64">
        <v>42</v>
      </c>
      <c r="O8" s="64">
        <v>304</v>
      </c>
      <c r="P8" s="64">
        <v>66</v>
      </c>
      <c r="Q8" s="64">
        <v>73</v>
      </c>
      <c r="R8" s="64">
        <v>89</v>
      </c>
      <c r="S8" s="71">
        <v>90</v>
      </c>
      <c r="T8" s="64">
        <v>42</v>
      </c>
      <c r="U8" s="64">
        <v>48</v>
      </c>
      <c r="V8" s="64">
        <v>318</v>
      </c>
      <c r="W8" s="64">
        <v>88</v>
      </c>
      <c r="X8" s="64">
        <v>69</v>
      </c>
      <c r="Y8" s="64">
        <v>91</v>
      </c>
      <c r="Z8" s="71">
        <f t="shared" si="1"/>
        <v>83</v>
      </c>
      <c r="AA8" s="64">
        <v>35</v>
      </c>
      <c r="AB8" s="64">
        <v>48</v>
      </c>
      <c r="AC8" s="64">
        <f t="shared" si="2"/>
        <v>331</v>
      </c>
    </row>
    <row r="9" spans="1:29" ht="17.5" x14ac:dyDescent="0.25">
      <c r="A9" s="19" t="s">
        <v>398</v>
      </c>
      <c r="B9" s="27"/>
      <c r="C9" s="27"/>
      <c r="D9" s="27"/>
      <c r="E9" s="27"/>
      <c r="F9" s="27"/>
      <c r="G9" s="27"/>
      <c r="H9" s="64">
        <f t="shared" si="0"/>
        <v>0</v>
      </c>
      <c r="I9" s="27"/>
      <c r="J9" s="27"/>
      <c r="K9" s="27"/>
      <c r="L9" s="27"/>
      <c r="M9" s="27"/>
      <c r="N9" s="27"/>
      <c r="O9" s="20"/>
      <c r="P9" s="64">
        <v>60</v>
      </c>
      <c r="Q9" s="64">
        <v>83</v>
      </c>
      <c r="R9" s="64">
        <v>60</v>
      </c>
      <c r="S9" s="71">
        <v>87</v>
      </c>
      <c r="T9" s="64">
        <v>37</v>
      </c>
      <c r="U9" s="64">
        <v>50</v>
      </c>
      <c r="V9" s="64">
        <v>290</v>
      </c>
      <c r="W9" s="64">
        <v>70</v>
      </c>
      <c r="X9" s="64">
        <v>75</v>
      </c>
      <c r="Y9" s="64">
        <v>61</v>
      </c>
      <c r="Z9" s="71">
        <f t="shared" si="1"/>
        <v>69</v>
      </c>
      <c r="AA9" s="64">
        <v>31</v>
      </c>
      <c r="AB9" s="64">
        <v>38</v>
      </c>
      <c r="AC9" s="64">
        <f t="shared" si="2"/>
        <v>275</v>
      </c>
    </row>
    <row r="10" spans="1:29" ht="17.5" x14ac:dyDescent="0.25">
      <c r="A10" s="19" t="s">
        <v>399</v>
      </c>
      <c r="B10" s="20">
        <v>86</v>
      </c>
      <c r="C10" s="20">
        <v>77</v>
      </c>
      <c r="D10" s="20">
        <v>37</v>
      </c>
      <c r="E10" s="20">
        <v>78</v>
      </c>
      <c r="F10" s="20">
        <v>52</v>
      </c>
      <c r="G10" s="20">
        <v>26</v>
      </c>
      <c r="H10" s="64">
        <f t="shared" si="0"/>
        <v>278</v>
      </c>
      <c r="I10" s="64">
        <v>70</v>
      </c>
      <c r="J10" s="64">
        <v>74</v>
      </c>
      <c r="K10" s="64">
        <v>79</v>
      </c>
      <c r="L10" s="64">
        <v>122</v>
      </c>
      <c r="M10" s="64">
        <v>64</v>
      </c>
      <c r="N10" s="64">
        <v>58</v>
      </c>
      <c r="O10" s="64">
        <v>345</v>
      </c>
      <c r="P10" s="64">
        <v>86</v>
      </c>
      <c r="Q10" s="64">
        <v>64</v>
      </c>
      <c r="R10" s="64">
        <v>80</v>
      </c>
      <c r="S10" s="71">
        <v>112</v>
      </c>
      <c r="T10" s="64">
        <v>44</v>
      </c>
      <c r="U10" s="64">
        <v>68</v>
      </c>
      <c r="V10" s="64">
        <v>342</v>
      </c>
      <c r="W10" s="64">
        <v>90</v>
      </c>
      <c r="X10" s="64">
        <v>63</v>
      </c>
      <c r="Y10" s="64">
        <v>91</v>
      </c>
      <c r="Z10" s="71">
        <f t="shared" ref="Z10:Z18" si="3">SUM(AA10:AB10)</f>
        <v>123</v>
      </c>
      <c r="AA10" s="64">
        <v>51</v>
      </c>
      <c r="AB10" s="64">
        <v>72</v>
      </c>
      <c r="AC10" s="64">
        <f t="shared" si="2"/>
        <v>367</v>
      </c>
    </row>
    <row r="11" spans="1:29" ht="17.5" x14ac:dyDescent="0.25">
      <c r="A11" s="19" t="s">
        <v>400</v>
      </c>
      <c r="B11" s="20">
        <v>72</v>
      </c>
      <c r="C11" s="20">
        <v>68</v>
      </c>
      <c r="D11" s="20">
        <v>44</v>
      </c>
      <c r="E11" s="20">
        <v>102</v>
      </c>
      <c r="F11" s="20">
        <v>64</v>
      </c>
      <c r="G11" s="20">
        <v>38</v>
      </c>
      <c r="H11" s="64">
        <f t="shared" si="0"/>
        <v>286</v>
      </c>
      <c r="I11" s="64">
        <v>72</v>
      </c>
      <c r="J11" s="64">
        <v>71</v>
      </c>
      <c r="K11" s="64">
        <v>80</v>
      </c>
      <c r="L11" s="64">
        <v>110</v>
      </c>
      <c r="M11" s="64">
        <v>62</v>
      </c>
      <c r="N11" s="64">
        <v>48</v>
      </c>
      <c r="O11" s="64">
        <v>333</v>
      </c>
      <c r="P11" s="64">
        <v>74</v>
      </c>
      <c r="Q11" s="64">
        <v>86</v>
      </c>
      <c r="R11" s="64">
        <v>77</v>
      </c>
      <c r="S11" s="71">
        <v>124</v>
      </c>
      <c r="T11" s="64">
        <v>50</v>
      </c>
      <c r="U11" s="64">
        <v>74</v>
      </c>
      <c r="V11" s="64">
        <v>361</v>
      </c>
      <c r="W11" s="71"/>
      <c r="X11" s="71"/>
      <c r="Y11" s="71"/>
      <c r="Z11" s="71"/>
      <c r="AA11" s="71"/>
      <c r="AB11" s="71"/>
      <c r="AC11" s="64"/>
    </row>
    <row r="12" spans="1:29" ht="17.5" x14ac:dyDescent="0.25">
      <c r="A12" s="19" t="s">
        <v>401</v>
      </c>
      <c r="B12" s="20">
        <v>80</v>
      </c>
      <c r="C12" s="20">
        <v>72</v>
      </c>
      <c r="D12" s="20">
        <v>52</v>
      </c>
      <c r="E12" s="20">
        <v>94</v>
      </c>
      <c r="F12" s="20">
        <v>58</v>
      </c>
      <c r="G12" s="20">
        <v>36</v>
      </c>
      <c r="H12" s="64">
        <f t="shared" si="0"/>
        <v>298</v>
      </c>
      <c r="I12" s="20">
        <v>84</v>
      </c>
      <c r="J12" s="20">
        <v>80</v>
      </c>
      <c r="K12" s="20">
        <v>77</v>
      </c>
      <c r="L12" s="20">
        <v>106</v>
      </c>
      <c r="M12" s="20">
        <v>58</v>
      </c>
      <c r="N12" s="20">
        <v>48</v>
      </c>
      <c r="O12" s="20">
        <v>347</v>
      </c>
      <c r="P12" s="64">
        <v>92</v>
      </c>
      <c r="Q12" s="64">
        <v>81</v>
      </c>
      <c r="R12" s="64">
        <v>98</v>
      </c>
      <c r="S12" s="71">
        <v>111</v>
      </c>
      <c r="T12" s="64">
        <v>43</v>
      </c>
      <c r="U12" s="64">
        <v>68</v>
      </c>
      <c r="V12" s="64">
        <v>382</v>
      </c>
      <c r="W12" s="64">
        <v>92</v>
      </c>
      <c r="X12" s="64">
        <v>62</v>
      </c>
      <c r="Y12" s="64">
        <v>88</v>
      </c>
      <c r="Z12" s="71">
        <f t="shared" si="3"/>
        <v>112</v>
      </c>
      <c r="AA12" s="64">
        <v>54</v>
      </c>
      <c r="AB12" s="64">
        <v>58</v>
      </c>
      <c r="AC12" s="64">
        <f t="shared" si="2"/>
        <v>354</v>
      </c>
    </row>
    <row r="13" spans="1:29" ht="17.5" x14ac:dyDescent="0.25">
      <c r="A13" s="19" t="s">
        <v>402</v>
      </c>
      <c r="B13" s="20">
        <v>82</v>
      </c>
      <c r="C13" s="20">
        <v>76</v>
      </c>
      <c r="D13" s="20">
        <v>79</v>
      </c>
      <c r="E13" s="20">
        <v>92</v>
      </c>
      <c r="F13" s="20">
        <v>50</v>
      </c>
      <c r="G13" s="20">
        <v>42</v>
      </c>
      <c r="H13" s="64">
        <f t="shared" si="0"/>
        <v>329</v>
      </c>
      <c r="I13" s="64">
        <v>82</v>
      </c>
      <c r="J13" s="64">
        <v>71</v>
      </c>
      <c r="K13" s="64">
        <v>73</v>
      </c>
      <c r="L13" s="64">
        <v>102</v>
      </c>
      <c r="M13" s="64">
        <v>56</v>
      </c>
      <c r="N13" s="64">
        <v>46</v>
      </c>
      <c r="O13" s="64">
        <v>328</v>
      </c>
      <c r="P13" s="64">
        <v>78</v>
      </c>
      <c r="Q13" s="64">
        <v>90</v>
      </c>
      <c r="R13" s="64">
        <v>95</v>
      </c>
      <c r="S13" s="71">
        <v>127</v>
      </c>
      <c r="T13" s="64">
        <v>53</v>
      </c>
      <c r="U13" s="64">
        <v>74</v>
      </c>
      <c r="V13" s="64">
        <v>390</v>
      </c>
      <c r="W13" s="64">
        <v>92</v>
      </c>
      <c r="X13" s="64">
        <v>86</v>
      </c>
      <c r="Y13" s="64">
        <v>85</v>
      </c>
      <c r="Z13" s="71">
        <f t="shared" si="3"/>
        <v>119</v>
      </c>
      <c r="AA13" s="64">
        <v>57</v>
      </c>
      <c r="AB13" s="64">
        <v>62</v>
      </c>
      <c r="AC13" s="64">
        <f t="shared" si="2"/>
        <v>382</v>
      </c>
    </row>
    <row r="14" spans="1:29" ht="17.5" x14ac:dyDescent="0.25">
      <c r="A14" s="19" t="s">
        <v>403</v>
      </c>
      <c r="B14" s="20">
        <v>90</v>
      </c>
      <c r="C14" s="20">
        <v>83</v>
      </c>
      <c r="D14" s="20">
        <v>70</v>
      </c>
      <c r="E14" s="20">
        <v>90</v>
      </c>
      <c r="F14" s="20">
        <v>56</v>
      </c>
      <c r="G14" s="20">
        <v>34</v>
      </c>
      <c r="H14" s="64">
        <f t="shared" si="0"/>
        <v>333</v>
      </c>
      <c r="I14" s="64">
        <v>88</v>
      </c>
      <c r="J14" s="64">
        <v>76</v>
      </c>
      <c r="K14" s="64">
        <v>85</v>
      </c>
      <c r="L14" s="64">
        <v>136</v>
      </c>
      <c r="M14" s="64">
        <v>76</v>
      </c>
      <c r="N14" s="64">
        <v>60</v>
      </c>
      <c r="O14" s="64">
        <v>385</v>
      </c>
      <c r="P14" s="64">
        <v>78</v>
      </c>
      <c r="Q14" s="64">
        <v>78</v>
      </c>
      <c r="R14" s="64">
        <v>84</v>
      </c>
      <c r="S14" s="71">
        <v>123</v>
      </c>
      <c r="T14" s="64">
        <v>47</v>
      </c>
      <c r="U14" s="64">
        <v>76</v>
      </c>
      <c r="V14" s="64">
        <v>363</v>
      </c>
      <c r="W14" s="64">
        <v>94</v>
      </c>
      <c r="X14" s="64">
        <v>87</v>
      </c>
      <c r="Y14" s="64">
        <v>85</v>
      </c>
      <c r="Z14" s="71">
        <f t="shared" si="3"/>
        <v>115</v>
      </c>
      <c r="AA14" s="64">
        <v>51</v>
      </c>
      <c r="AB14" s="64">
        <v>64</v>
      </c>
      <c r="AC14" s="64">
        <f t="shared" si="2"/>
        <v>381</v>
      </c>
    </row>
    <row r="15" spans="1:29" ht="17.5" x14ac:dyDescent="0.25">
      <c r="A15" s="19" t="s">
        <v>404</v>
      </c>
      <c r="B15" s="20">
        <v>86</v>
      </c>
      <c r="C15" s="20">
        <v>73</v>
      </c>
      <c r="D15" s="20">
        <v>45</v>
      </c>
      <c r="E15" s="20">
        <v>70</v>
      </c>
      <c r="F15" s="20">
        <v>42</v>
      </c>
      <c r="G15" s="20">
        <v>28</v>
      </c>
      <c r="H15" s="64">
        <f t="shared" si="0"/>
        <v>274</v>
      </c>
      <c r="I15" s="64">
        <v>82</v>
      </c>
      <c r="J15" s="64">
        <v>60</v>
      </c>
      <c r="K15" s="64">
        <v>55</v>
      </c>
      <c r="L15" s="64">
        <v>120</v>
      </c>
      <c r="M15" s="64">
        <v>60</v>
      </c>
      <c r="N15" s="64">
        <v>60</v>
      </c>
      <c r="O15" s="64">
        <v>317</v>
      </c>
      <c r="P15" s="64">
        <v>92</v>
      </c>
      <c r="Q15" s="64">
        <v>80</v>
      </c>
      <c r="R15" s="64">
        <v>89</v>
      </c>
      <c r="S15" s="71">
        <v>119</v>
      </c>
      <c r="T15" s="64">
        <v>47</v>
      </c>
      <c r="U15" s="64">
        <v>72</v>
      </c>
      <c r="V15" s="64">
        <v>380</v>
      </c>
      <c r="W15" s="64">
        <v>82</v>
      </c>
      <c r="X15" s="64">
        <v>82</v>
      </c>
      <c r="Y15" s="64">
        <v>68</v>
      </c>
      <c r="Z15" s="71">
        <f t="shared" si="3"/>
        <v>114</v>
      </c>
      <c r="AA15" s="64">
        <v>44</v>
      </c>
      <c r="AB15" s="64">
        <v>70</v>
      </c>
      <c r="AC15" s="64">
        <f t="shared" si="2"/>
        <v>346</v>
      </c>
    </row>
    <row r="16" spans="1:29" ht="17.5" x14ac:dyDescent="0.25">
      <c r="A16" s="19" t="s">
        <v>405</v>
      </c>
      <c r="B16" s="20">
        <v>84</v>
      </c>
      <c r="C16" s="20">
        <v>77</v>
      </c>
      <c r="D16" s="20">
        <v>67</v>
      </c>
      <c r="E16" s="20">
        <v>94</v>
      </c>
      <c r="F16" s="20">
        <v>60</v>
      </c>
      <c r="G16" s="20">
        <v>34</v>
      </c>
      <c r="H16" s="64">
        <f t="shared" si="0"/>
        <v>322</v>
      </c>
      <c r="I16" s="64">
        <v>76</v>
      </c>
      <c r="J16" s="64">
        <v>84</v>
      </c>
      <c r="K16" s="64">
        <v>86</v>
      </c>
      <c r="L16" s="64">
        <v>116</v>
      </c>
      <c r="M16" s="64">
        <v>70</v>
      </c>
      <c r="N16" s="64">
        <v>46</v>
      </c>
      <c r="O16" s="64">
        <v>362</v>
      </c>
      <c r="P16" s="64">
        <v>86</v>
      </c>
      <c r="Q16" s="64">
        <v>75</v>
      </c>
      <c r="R16" s="64">
        <v>86</v>
      </c>
      <c r="S16" s="71">
        <v>114</v>
      </c>
      <c r="T16" s="64">
        <v>56</v>
      </c>
      <c r="U16" s="64">
        <v>58</v>
      </c>
      <c r="V16" s="64">
        <v>361</v>
      </c>
      <c r="W16" s="64">
        <v>82</v>
      </c>
      <c r="X16" s="64">
        <v>72</v>
      </c>
      <c r="Y16" s="64">
        <v>84</v>
      </c>
      <c r="Z16" s="71">
        <f t="shared" si="3"/>
        <v>114</v>
      </c>
      <c r="AA16" s="64">
        <v>48</v>
      </c>
      <c r="AB16" s="64">
        <v>66</v>
      </c>
      <c r="AC16" s="64">
        <f t="shared" si="2"/>
        <v>352</v>
      </c>
    </row>
    <row r="17" spans="1:29" ht="17.5" x14ac:dyDescent="0.25">
      <c r="A17" s="19" t="s">
        <v>406</v>
      </c>
      <c r="B17" s="20">
        <v>84</v>
      </c>
      <c r="C17" s="20">
        <v>63</v>
      </c>
      <c r="D17" s="20">
        <v>68</v>
      </c>
      <c r="E17" s="20">
        <v>82</v>
      </c>
      <c r="F17" s="20">
        <v>56</v>
      </c>
      <c r="G17" s="20">
        <v>26</v>
      </c>
      <c r="H17" s="64">
        <f t="shared" si="0"/>
        <v>297</v>
      </c>
      <c r="I17" s="64">
        <v>78</v>
      </c>
      <c r="J17" s="64">
        <v>78</v>
      </c>
      <c r="K17" s="64">
        <v>59</v>
      </c>
      <c r="L17" s="64">
        <v>114</v>
      </c>
      <c r="M17" s="64">
        <v>68</v>
      </c>
      <c r="N17" s="64">
        <v>46</v>
      </c>
      <c r="O17" s="64">
        <v>329</v>
      </c>
      <c r="P17" s="64">
        <v>84</v>
      </c>
      <c r="Q17" s="64">
        <v>70</v>
      </c>
      <c r="R17" s="64">
        <v>89</v>
      </c>
      <c r="S17" s="71">
        <v>104</v>
      </c>
      <c r="T17" s="64">
        <v>56</v>
      </c>
      <c r="U17" s="64">
        <v>48</v>
      </c>
      <c r="V17" s="64">
        <v>347</v>
      </c>
      <c r="W17" s="64">
        <v>88</v>
      </c>
      <c r="X17" s="64">
        <v>73</v>
      </c>
      <c r="Y17" s="64">
        <v>83</v>
      </c>
      <c r="Z17" s="71">
        <f t="shared" si="3"/>
        <v>101</v>
      </c>
      <c r="AA17" s="64">
        <v>41</v>
      </c>
      <c r="AB17" s="64">
        <v>60</v>
      </c>
      <c r="AC17" s="64">
        <f t="shared" si="2"/>
        <v>345</v>
      </c>
    </row>
    <row r="18" spans="1:29" ht="17.5" x14ac:dyDescent="0.25">
      <c r="A18" s="19" t="s">
        <v>407</v>
      </c>
      <c r="B18" s="20">
        <v>86</v>
      </c>
      <c r="C18" s="20">
        <v>72</v>
      </c>
      <c r="D18" s="20">
        <v>70</v>
      </c>
      <c r="E18" s="20">
        <v>82</v>
      </c>
      <c r="F18" s="20">
        <v>44</v>
      </c>
      <c r="G18" s="20">
        <v>38</v>
      </c>
      <c r="H18" s="64">
        <f t="shared" si="0"/>
        <v>310</v>
      </c>
      <c r="I18" s="64">
        <v>88</v>
      </c>
      <c r="J18" s="64">
        <v>77</v>
      </c>
      <c r="K18" s="64">
        <v>59</v>
      </c>
      <c r="L18" s="64">
        <v>122</v>
      </c>
      <c r="M18" s="64">
        <v>68</v>
      </c>
      <c r="N18" s="64">
        <v>54</v>
      </c>
      <c r="O18" s="64">
        <v>346</v>
      </c>
      <c r="P18" s="64">
        <v>86</v>
      </c>
      <c r="Q18" s="64">
        <v>77</v>
      </c>
      <c r="R18" s="64">
        <v>89</v>
      </c>
      <c r="S18" s="71">
        <v>103</v>
      </c>
      <c r="T18" s="64">
        <v>53</v>
      </c>
      <c r="U18" s="64">
        <v>50</v>
      </c>
      <c r="V18" s="64">
        <v>355</v>
      </c>
      <c r="W18" s="64">
        <v>88</v>
      </c>
      <c r="X18" s="64">
        <v>70</v>
      </c>
      <c r="Y18" s="64">
        <v>80</v>
      </c>
      <c r="Z18" s="71">
        <f t="shared" si="3"/>
        <v>99</v>
      </c>
      <c r="AA18" s="64">
        <v>43</v>
      </c>
      <c r="AB18" s="64">
        <v>56</v>
      </c>
      <c r="AC18" s="64">
        <f t="shared" si="2"/>
        <v>337</v>
      </c>
    </row>
    <row r="19" spans="1:29" ht="17.5" x14ac:dyDescent="0.25">
      <c r="A19" s="19" t="s">
        <v>408</v>
      </c>
      <c r="B19" s="27"/>
      <c r="C19" s="27"/>
      <c r="D19" s="27"/>
      <c r="E19" s="27"/>
      <c r="F19" s="27"/>
      <c r="G19" s="27"/>
      <c r="H19" s="64"/>
      <c r="I19" s="27"/>
      <c r="J19" s="27"/>
      <c r="K19" s="27"/>
      <c r="L19" s="27"/>
      <c r="M19" s="27"/>
      <c r="N19" s="27"/>
      <c r="O19" s="71"/>
      <c r="P19" s="71"/>
      <c r="Q19" s="71"/>
      <c r="R19" s="71"/>
      <c r="S19" s="71"/>
      <c r="T19" s="71"/>
      <c r="U19" s="71"/>
      <c r="V19" s="71"/>
      <c r="W19" s="72"/>
      <c r="X19" s="71"/>
      <c r="Y19" s="71"/>
      <c r="Z19" s="71"/>
      <c r="AA19" s="71"/>
      <c r="AB19" s="71"/>
      <c r="AC19" s="64"/>
    </row>
    <row r="20" spans="1:29" ht="17.5" x14ac:dyDescent="0.25">
      <c r="A20" s="19" t="s">
        <v>409</v>
      </c>
      <c r="B20" s="20">
        <v>82</v>
      </c>
      <c r="C20" s="20">
        <v>79</v>
      </c>
      <c r="D20" s="20">
        <v>67</v>
      </c>
      <c r="E20" s="20">
        <v>74</v>
      </c>
      <c r="F20" s="20">
        <v>46</v>
      </c>
      <c r="G20" s="20">
        <v>28</v>
      </c>
      <c r="H20" s="64">
        <f t="shared" si="0"/>
        <v>302</v>
      </c>
      <c r="I20" s="64">
        <v>78</v>
      </c>
      <c r="J20" s="64">
        <v>69</v>
      </c>
      <c r="K20" s="64">
        <v>86</v>
      </c>
      <c r="L20" s="64">
        <v>104</v>
      </c>
      <c r="M20" s="64">
        <v>50</v>
      </c>
      <c r="N20" s="64">
        <v>54</v>
      </c>
      <c r="O20" s="64">
        <v>337</v>
      </c>
      <c r="P20" s="64">
        <v>84</v>
      </c>
      <c r="Q20" s="64">
        <v>80</v>
      </c>
      <c r="R20" s="64">
        <v>94</v>
      </c>
      <c r="S20" s="71">
        <v>115</v>
      </c>
      <c r="T20" s="64">
        <v>53</v>
      </c>
      <c r="U20" s="64">
        <v>62</v>
      </c>
      <c r="V20" s="64">
        <v>373</v>
      </c>
      <c r="W20" s="64">
        <v>86</v>
      </c>
      <c r="X20" s="64">
        <v>81</v>
      </c>
      <c r="Y20" s="64">
        <v>83</v>
      </c>
      <c r="Z20" s="71">
        <f t="shared" ref="Z20:Z52" si="4">SUM(AA20:AB20)</f>
        <v>124</v>
      </c>
      <c r="AA20" s="64">
        <v>60</v>
      </c>
      <c r="AB20" s="64">
        <v>64</v>
      </c>
      <c r="AC20" s="64">
        <f t="shared" si="2"/>
        <v>374</v>
      </c>
    </row>
    <row r="21" spans="1:29" ht="17.5" x14ac:dyDescent="0.25">
      <c r="A21" s="19" t="s">
        <v>410</v>
      </c>
      <c r="B21" s="27"/>
      <c r="C21" s="27"/>
      <c r="D21" s="27"/>
      <c r="E21" s="27"/>
      <c r="F21" s="27"/>
      <c r="G21" s="27"/>
      <c r="H21" s="64"/>
      <c r="I21" s="64">
        <v>50</v>
      </c>
      <c r="J21" s="64">
        <v>65</v>
      </c>
      <c r="K21" s="64">
        <v>41</v>
      </c>
      <c r="L21" s="64">
        <v>72</v>
      </c>
      <c r="M21" s="64">
        <v>36</v>
      </c>
      <c r="N21" s="64">
        <v>36</v>
      </c>
      <c r="O21" s="64">
        <v>228</v>
      </c>
      <c r="P21" s="64">
        <v>86</v>
      </c>
      <c r="Q21" s="64">
        <v>74</v>
      </c>
      <c r="R21" s="64">
        <v>72</v>
      </c>
      <c r="S21" s="71">
        <v>110</v>
      </c>
      <c r="T21" s="64">
        <v>56</v>
      </c>
      <c r="U21" s="64">
        <v>54</v>
      </c>
      <c r="V21" s="64">
        <v>342</v>
      </c>
      <c r="W21" s="64">
        <v>82</v>
      </c>
      <c r="X21" s="64">
        <v>81</v>
      </c>
      <c r="Y21" s="64">
        <v>81</v>
      </c>
      <c r="Z21" s="71">
        <f t="shared" si="4"/>
        <v>122</v>
      </c>
      <c r="AA21" s="64">
        <v>54</v>
      </c>
      <c r="AB21" s="64">
        <v>68</v>
      </c>
      <c r="AC21" s="64">
        <f t="shared" si="2"/>
        <v>366</v>
      </c>
    </row>
    <row r="22" spans="1:29" ht="17.5" x14ac:dyDescent="0.25">
      <c r="A22" s="19" t="s">
        <v>411</v>
      </c>
      <c r="B22" s="20">
        <v>88</v>
      </c>
      <c r="C22" s="20">
        <v>74</v>
      </c>
      <c r="D22" s="20">
        <v>60</v>
      </c>
      <c r="E22" s="20">
        <v>82</v>
      </c>
      <c r="F22" s="20">
        <v>54</v>
      </c>
      <c r="G22" s="20">
        <v>28</v>
      </c>
      <c r="H22" s="64">
        <f t="shared" si="0"/>
        <v>304</v>
      </c>
      <c r="I22" s="64">
        <v>82</v>
      </c>
      <c r="J22" s="64">
        <v>66</v>
      </c>
      <c r="K22" s="64">
        <v>94</v>
      </c>
      <c r="L22" s="64">
        <v>118</v>
      </c>
      <c r="M22" s="64">
        <v>64</v>
      </c>
      <c r="N22" s="64">
        <v>54</v>
      </c>
      <c r="O22" s="64">
        <v>360</v>
      </c>
      <c r="P22" s="64">
        <v>82</v>
      </c>
      <c r="Q22" s="64">
        <v>80</v>
      </c>
      <c r="R22" s="64">
        <v>97</v>
      </c>
      <c r="S22" s="71">
        <v>132</v>
      </c>
      <c r="T22" s="64">
        <v>54</v>
      </c>
      <c r="U22" s="64">
        <v>78</v>
      </c>
      <c r="V22" s="64">
        <v>391</v>
      </c>
      <c r="W22" s="64">
        <v>88</v>
      </c>
      <c r="X22" s="64">
        <v>80</v>
      </c>
      <c r="Y22" s="64">
        <v>85</v>
      </c>
      <c r="Z22" s="71">
        <f t="shared" si="4"/>
        <v>123</v>
      </c>
      <c r="AA22" s="64">
        <v>57</v>
      </c>
      <c r="AB22" s="64">
        <v>66</v>
      </c>
      <c r="AC22" s="64">
        <f t="shared" si="2"/>
        <v>376</v>
      </c>
    </row>
    <row r="23" spans="1:29" ht="17.5" x14ac:dyDescent="0.25">
      <c r="A23" s="19" t="s">
        <v>412</v>
      </c>
      <c r="B23" s="20">
        <v>90</v>
      </c>
      <c r="C23" s="20">
        <v>74</v>
      </c>
      <c r="D23" s="20">
        <v>70</v>
      </c>
      <c r="E23" s="20">
        <v>56</v>
      </c>
      <c r="F23" s="20">
        <v>32</v>
      </c>
      <c r="G23" s="20">
        <v>26</v>
      </c>
      <c r="H23" s="64">
        <f t="shared" si="0"/>
        <v>290</v>
      </c>
      <c r="I23" s="64">
        <v>78</v>
      </c>
      <c r="J23" s="64">
        <v>72</v>
      </c>
      <c r="K23" s="64">
        <v>64</v>
      </c>
      <c r="L23" s="64">
        <v>96</v>
      </c>
      <c r="M23" s="64">
        <v>46</v>
      </c>
      <c r="N23" s="64">
        <v>50</v>
      </c>
      <c r="O23" s="64">
        <v>310</v>
      </c>
      <c r="P23" s="64">
        <v>88</v>
      </c>
      <c r="Q23" s="64">
        <v>73</v>
      </c>
      <c r="R23" s="64">
        <v>86</v>
      </c>
      <c r="S23" s="71">
        <v>114</v>
      </c>
      <c r="T23" s="64">
        <v>50</v>
      </c>
      <c r="U23" s="64">
        <v>64</v>
      </c>
      <c r="V23" s="64">
        <v>361</v>
      </c>
      <c r="W23" s="71"/>
      <c r="X23" s="71"/>
      <c r="Y23" s="71"/>
      <c r="Z23" s="71"/>
      <c r="AA23" s="71"/>
      <c r="AB23" s="71"/>
      <c r="AC23" s="64"/>
    </row>
    <row r="24" spans="1:29" ht="17.5" x14ac:dyDescent="0.25">
      <c r="A24" s="19" t="s">
        <v>413</v>
      </c>
      <c r="B24" s="20">
        <v>84</v>
      </c>
      <c r="C24" s="20">
        <v>81</v>
      </c>
      <c r="D24" s="20">
        <v>70</v>
      </c>
      <c r="E24" s="20">
        <v>62</v>
      </c>
      <c r="F24" s="20">
        <v>44</v>
      </c>
      <c r="G24" s="20">
        <v>18</v>
      </c>
      <c r="H24" s="64">
        <f t="shared" si="0"/>
        <v>297</v>
      </c>
      <c r="I24" s="64">
        <v>80</v>
      </c>
      <c r="J24" s="64">
        <v>79</v>
      </c>
      <c r="K24" s="64">
        <v>75</v>
      </c>
      <c r="L24" s="64">
        <v>120</v>
      </c>
      <c r="M24" s="64">
        <v>66</v>
      </c>
      <c r="N24" s="64">
        <v>54</v>
      </c>
      <c r="O24" s="64">
        <v>354</v>
      </c>
      <c r="P24" s="20">
        <v>82</v>
      </c>
      <c r="Q24" s="20">
        <v>76</v>
      </c>
      <c r="R24" s="20">
        <v>97</v>
      </c>
      <c r="S24" s="20">
        <v>114</v>
      </c>
      <c r="T24" s="20">
        <v>54</v>
      </c>
      <c r="U24" s="20">
        <v>60</v>
      </c>
      <c r="V24" s="20">
        <v>369</v>
      </c>
      <c r="W24" s="20">
        <v>88</v>
      </c>
      <c r="X24" s="20">
        <v>72</v>
      </c>
      <c r="Y24" s="20">
        <v>83</v>
      </c>
      <c r="Z24" s="71">
        <f t="shared" si="4"/>
        <v>121</v>
      </c>
      <c r="AA24" s="20">
        <v>55</v>
      </c>
      <c r="AB24" s="20">
        <v>66</v>
      </c>
      <c r="AC24" s="64">
        <f t="shared" si="2"/>
        <v>364</v>
      </c>
    </row>
    <row r="25" spans="1:29" ht="17.5" x14ac:dyDescent="0.25">
      <c r="A25" s="19" t="s">
        <v>414</v>
      </c>
      <c r="B25" s="20">
        <v>76</v>
      </c>
      <c r="C25" s="20">
        <v>46</v>
      </c>
      <c r="D25" s="20">
        <v>68</v>
      </c>
      <c r="E25" s="20">
        <v>78</v>
      </c>
      <c r="F25" s="20">
        <v>50</v>
      </c>
      <c r="G25" s="20">
        <v>28</v>
      </c>
      <c r="H25" s="64">
        <f t="shared" si="0"/>
        <v>268</v>
      </c>
      <c r="I25" s="64">
        <v>72</v>
      </c>
      <c r="J25" s="64">
        <v>58</v>
      </c>
      <c r="K25" s="64">
        <v>88</v>
      </c>
      <c r="L25" s="64">
        <v>100</v>
      </c>
      <c r="M25" s="64">
        <v>52</v>
      </c>
      <c r="N25" s="64">
        <v>48</v>
      </c>
      <c r="O25" s="64">
        <v>318</v>
      </c>
      <c r="P25" s="64">
        <v>76</v>
      </c>
      <c r="Q25" s="64">
        <v>58</v>
      </c>
      <c r="R25" s="64">
        <v>83</v>
      </c>
      <c r="S25" s="71">
        <v>120</v>
      </c>
      <c r="T25" s="64">
        <v>56</v>
      </c>
      <c r="U25" s="64">
        <v>64</v>
      </c>
      <c r="V25" s="64">
        <v>337</v>
      </c>
      <c r="W25" s="64">
        <v>76</v>
      </c>
      <c r="X25" s="64">
        <v>64</v>
      </c>
      <c r="Y25" s="64">
        <v>80</v>
      </c>
      <c r="Z25" s="71">
        <f t="shared" si="4"/>
        <v>108</v>
      </c>
      <c r="AA25" s="64">
        <v>56</v>
      </c>
      <c r="AB25" s="64">
        <v>52</v>
      </c>
      <c r="AC25" s="64">
        <f t="shared" si="2"/>
        <v>328</v>
      </c>
    </row>
    <row r="26" spans="1:29" ht="17.5" x14ac:dyDescent="0.25">
      <c r="A26" s="19" t="s">
        <v>415</v>
      </c>
      <c r="B26" s="20">
        <v>72</v>
      </c>
      <c r="C26" s="20">
        <v>80</v>
      </c>
      <c r="D26" s="20">
        <v>42</v>
      </c>
      <c r="E26" s="20">
        <v>68</v>
      </c>
      <c r="F26" s="20">
        <v>40</v>
      </c>
      <c r="G26" s="20">
        <v>28</v>
      </c>
      <c r="H26" s="64">
        <f t="shared" si="0"/>
        <v>262</v>
      </c>
      <c r="I26" s="64">
        <v>64</v>
      </c>
      <c r="J26" s="64">
        <v>53</v>
      </c>
      <c r="K26" s="64">
        <v>85</v>
      </c>
      <c r="L26" s="64">
        <v>110</v>
      </c>
      <c r="M26" s="64">
        <v>56</v>
      </c>
      <c r="N26" s="64">
        <v>54</v>
      </c>
      <c r="O26" s="64">
        <v>312</v>
      </c>
      <c r="P26" s="64">
        <v>78</v>
      </c>
      <c r="Q26" s="64">
        <v>63</v>
      </c>
      <c r="R26" s="64">
        <v>89</v>
      </c>
      <c r="S26" s="71">
        <v>121</v>
      </c>
      <c r="T26" s="64">
        <v>57</v>
      </c>
      <c r="U26" s="64">
        <v>64</v>
      </c>
      <c r="V26" s="64">
        <v>351</v>
      </c>
      <c r="W26" s="71"/>
      <c r="X26" s="71"/>
      <c r="Y26" s="71"/>
      <c r="Z26" s="71"/>
      <c r="AA26" s="71"/>
      <c r="AB26" s="71"/>
      <c r="AC26" s="64"/>
    </row>
    <row r="27" spans="1:29" ht="17.5" x14ac:dyDescent="0.25">
      <c r="A27" s="19" t="s">
        <v>416</v>
      </c>
      <c r="B27" s="20">
        <v>80</v>
      </c>
      <c r="C27" s="20">
        <v>95</v>
      </c>
      <c r="D27" s="20">
        <v>55</v>
      </c>
      <c r="E27" s="20">
        <v>78</v>
      </c>
      <c r="F27" s="20">
        <v>48</v>
      </c>
      <c r="G27" s="20">
        <v>30</v>
      </c>
      <c r="H27" s="64">
        <f t="shared" si="0"/>
        <v>308</v>
      </c>
      <c r="I27" s="64">
        <v>76</v>
      </c>
      <c r="J27" s="64">
        <v>86</v>
      </c>
      <c r="K27" s="71">
        <v>97</v>
      </c>
      <c r="L27" s="64">
        <v>124</v>
      </c>
      <c r="M27" s="64">
        <v>64</v>
      </c>
      <c r="N27" s="64">
        <v>60</v>
      </c>
      <c r="O27" s="64">
        <v>383</v>
      </c>
      <c r="P27" s="64">
        <v>88</v>
      </c>
      <c r="Q27" s="64">
        <v>92</v>
      </c>
      <c r="R27" s="71">
        <v>88</v>
      </c>
      <c r="S27" s="71">
        <v>126</v>
      </c>
      <c r="T27" s="64">
        <v>52</v>
      </c>
      <c r="U27" s="64">
        <v>74</v>
      </c>
      <c r="V27" s="64">
        <v>394</v>
      </c>
      <c r="W27" s="64">
        <v>78</v>
      </c>
      <c r="X27" s="64">
        <v>89</v>
      </c>
      <c r="Y27" s="71">
        <v>77</v>
      </c>
      <c r="Z27" s="71">
        <f t="shared" si="4"/>
        <v>126</v>
      </c>
      <c r="AA27" s="64">
        <v>54</v>
      </c>
      <c r="AB27" s="64">
        <v>72</v>
      </c>
      <c r="AC27" s="64">
        <f t="shared" si="2"/>
        <v>370</v>
      </c>
    </row>
    <row r="28" spans="1:29" ht="17.5" x14ac:dyDescent="0.25">
      <c r="A28" s="19" t="s">
        <v>417</v>
      </c>
      <c r="B28" s="20">
        <v>86</v>
      </c>
      <c r="C28" s="20">
        <v>87</v>
      </c>
      <c r="D28" s="20">
        <v>95</v>
      </c>
      <c r="E28" s="20">
        <v>80</v>
      </c>
      <c r="F28" s="20">
        <v>52</v>
      </c>
      <c r="G28" s="20">
        <v>28</v>
      </c>
      <c r="H28" s="64">
        <f t="shared" si="0"/>
        <v>348</v>
      </c>
      <c r="I28" s="64">
        <v>84</v>
      </c>
      <c r="J28" s="64">
        <v>76</v>
      </c>
      <c r="K28" s="64">
        <v>88</v>
      </c>
      <c r="L28" s="71">
        <v>138</v>
      </c>
      <c r="M28" s="64">
        <v>88</v>
      </c>
      <c r="N28" s="64">
        <v>50</v>
      </c>
      <c r="O28" s="64">
        <v>386</v>
      </c>
      <c r="P28" s="20">
        <v>96</v>
      </c>
      <c r="Q28" s="20">
        <v>82</v>
      </c>
      <c r="R28" s="20">
        <v>88</v>
      </c>
      <c r="S28" s="20">
        <v>146</v>
      </c>
      <c r="T28" s="20">
        <v>60</v>
      </c>
      <c r="U28" s="20">
        <v>86</v>
      </c>
      <c r="V28" s="20">
        <v>412</v>
      </c>
      <c r="W28" s="20">
        <v>84</v>
      </c>
      <c r="X28" s="20">
        <v>92</v>
      </c>
      <c r="Y28" s="20">
        <v>94</v>
      </c>
      <c r="Z28" s="71">
        <f t="shared" si="4"/>
        <v>130</v>
      </c>
      <c r="AA28" s="20">
        <v>60</v>
      </c>
      <c r="AB28" s="20">
        <v>70</v>
      </c>
      <c r="AC28" s="64">
        <f t="shared" si="2"/>
        <v>400</v>
      </c>
    </row>
    <row r="29" spans="1:29" ht="17.5" x14ac:dyDescent="0.25">
      <c r="A29" s="19" t="s">
        <v>418</v>
      </c>
      <c r="B29" s="20">
        <v>58</v>
      </c>
      <c r="C29" s="20">
        <v>68</v>
      </c>
      <c r="D29" s="20">
        <v>68</v>
      </c>
      <c r="E29" s="20">
        <v>82</v>
      </c>
      <c r="F29" s="20">
        <v>48</v>
      </c>
      <c r="G29" s="20">
        <v>34</v>
      </c>
      <c r="H29" s="64">
        <f t="shared" si="0"/>
        <v>276</v>
      </c>
      <c r="I29" s="64">
        <v>46</v>
      </c>
      <c r="J29" s="64">
        <v>42</v>
      </c>
      <c r="K29" s="64">
        <v>50</v>
      </c>
      <c r="L29" s="64">
        <v>90</v>
      </c>
      <c r="M29" s="64">
        <v>50</v>
      </c>
      <c r="N29" s="64">
        <v>40</v>
      </c>
      <c r="O29" s="64">
        <v>228</v>
      </c>
      <c r="P29" s="64">
        <v>64</v>
      </c>
      <c r="Q29" s="64">
        <v>62</v>
      </c>
      <c r="R29" s="64">
        <v>74</v>
      </c>
      <c r="S29" s="71">
        <v>123</v>
      </c>
      <c r="T29" s="64">
        <v>57</v>
      </c>
      <c r="U29" s="64">
        <v>66</v>
      </c>
      <c r="V29" s="64">
        <v>323</v>
      </c>
      <c r="W29" s="71"/>
      <c r="X29" s="71"/>
      <c r="Y29" s="71"/>
      <c r="Z29" s="71"/>
      <c r="AA29" s="71"/>
      <c r="AB29" s="71"/>
      <c r="AC29" s="64"/>
    </row>
    <row r="30" spans="1:29" ht="17.5" x14ac:dyDescent="0.25">
      <c r="A30" s="19" t="s">
        <v>419</v>
      </c>
      <c r="B30" s="20">
        <v>62</v>
      </c>
      <c r="C30" s="20">
        <v>38</v>
      </c>
      <c r="D30" s="20">
        <v>77</v>
      </c>
      <c r="E30" s="20">
        <v>66</v>
      </c>
      <c r="F30" s="20">
        <v>36</v>
      </c>
      <c r="G30" s="20">
        <v>30</v>
      </c>
      <c r="H30" s="64">
        <f t="shared" si="0"/>
        <v>243</v>
      </c>
      <c r="I30" s="64">
        <v>72</v>
      </c>
      <c r="J30" s="64">
        <v>39</v>
      </c>
      <c r="K30" s="64">
        <v>73</v>
      </c>
      <c r="L30" s="64">
        <v>92</v>
      </c>
      <c r="M30" s="64">
        <v>40</v>
      </c>
      <c r="N30" s="64">
        <v>52</v>
      </c>
      <c r="O30" s="64">
        <v>276</v>
      </c>
      <c r="P30" s="64">
        <v>76</v>
      </c>
      <c r="Q30" s="64">
        <v>29</v>
      </c>
      <c r="R30" s="64">
        <v>73</v>
      </c>
      <c r="S30" s="71">
        <v>115</v>
      </c>
      <c r="T30" s="64">
        <v>47</v>
      </c>
      <c r="U30" s="64">
        <v>68</v>
      </c>
      <c r="V30" s="64">
        <v>293</v>
      </c>
      <c r="W30" s="64">
        <v>72</v>
      </c>
      <c r="X30" s="64">
        <v>25</v>
      </c>
      <c r="Y30" s="64">
        <v>83</v>
      </c>
      <c r="Z30" s="71">
        <f t="shared" si="4"/>
        <v>107</v>
      </c>
      <c r="AA30" s="64">
        <v>49</v>
      </c>
      <c r="AB30" s="64">
        <v>58</v>
      </c>
      <c r="AC30" s="64">
        <f t="shared" si="2"/>
        <v>287</v>
      </c>
    </row>
    <row r="31" spans="1:29" ht="17.5" x14ac:dyDescent="0.25">
      <c r="A31" s="19" t="s">
        <v>420</v>
      </c>
      <c r="B31" s="20">
        <v>36</v>
      </c>
      <c r="C31" s="20">
        <v>55</v>
      </c>
      <c r="D31" s="20">
        <v>56</v>
      </c>
      <c r="E31" s="20">
        <v>110</v>
      </c>
      <c r="F31" s="20">
        <v>58</v>
      </c>
      <c r="G31" s="20">
        <v>52</v>
      </c>
      <c r="H31" s="64">
        <f t="shared" si="0"/>
        <v>257</v>
      </c>
      <c r="I31" s="64">
        <v>50</v>
      </c>
      <c r="J31" s="64">
        <v>66</v>
      </c>
      <c r="K31" s="64">
        <v>67</v>
      </c>
      <c r="L31" s="64">
        <v>118</v>
      </c>
      <c r="M31" s="64">
        <v>64</v>
      </c>
      <c r="N31" s="64">
        <v>54</v>
      </c>
      <c r="O31" s="64">
        <v>301</v>
      </c>
      <c r="P31" s="64">
        <v>50</v>
      </c>
      <c r="Q31" s="64">
        <v>56</v>
      </c>
      <c r="R31" s="64">
        <v>65</v>
      </c>
      <c r="S31" s="71">
        <v>78</v>
      </c>
      <c r="T31" s="64">
        <v>42</v>
      </c>
      <c r="U31" s="64">
        <v>36</v>
      </c>
      <c r="V31" s="64">
        <v>249</v>
      </c>
      <c r="W31" s="64">
        <v>50</v>
      </c>
      <c r="X31" s="64">
        <v>64</v>
      </c>
      <c r="Y31" s="64">
        <v>77</v>
      </c>
      <c r="Z31" s="71">
        <f t="shared" si="4"/>
        <v>102</v>
      </c>
      <c r="AA31" s="64">
        <v>48</v>
      </c>
      <c r="AB31" s="64">
        <v>54</v>
      </c>
      <c r="AC31" s="64">
        <f t="shared" si="2"/>
        <v>293</v>
      </c>
    </row>
    <row r="32" spans="1:29" ht="17.5" x14ac:dyDescent="0.25">
      <c r="A32" s="19" t="s">
        <v>421</v>
      </c>
      <c r="B32" s="27"/>
      <c r="C32" s="27"/>
      <c r="D32" s="27"/>
      <c r="E32" s="27"/>
      <c r="F32" s="27"/>
      <c r="G32" s="27"/>
      <c r="H32" s="64"/>
      <c r="I32" s="64">
        <v>60</v>
      </c>
      <c r="J32" s="64">
        <v>50</v>
      </c>
      <c r="K32" s="64">
        <v>89</v>
      </c>
      <c r="L32" s="64">
        <v>118</v>
      </c>
      <c r="M32" s="64">
        <v>72</v>
      </c>
      <c r="N32" s="64">
        <v>46</v>
      </c>
      <c r="O32" s="64">
        <v>317</v>
      </c>
      <c r="P32" s="71"/>
      <c r="Q32" s="71"/>
      <c r="R32" s="71"/>
      <c r="S32" s="71"/>
      <c r="T32" s="71"/>
      <c r="U32" s="71"/>
      <c r="V32" s="71"/>
      <c r="W32" s="71">
        <v>68</v>
      </c>
      <c r="X32" s="71">
        <v>43</v>
      </c>
      <c r="Y32" s="71">
        <v>89</v>
      </c>
      <c r="Z32" s="71">
        <f t="shared" si="4"/>
        <v>88</v>
      </c>
      <c r="AA32" s="71">
        <v>42</v>
      </c>
      <c r="AB32" s="71">
        <v>46</v>
      </c>
      <c r="AC32" s="64">
        <f t="shared" si="2"/>
        <v>288</v>
      </c>
    </row>
    <row r="33" spans="1:29" ht="17.5" x14ac:dyDescent="0.25">
      <c r="A33" s="19" t="s">
        <v>422</v>
      </c>
      <c r="B33" s="20">
        <v>64</v>
      </c>
      <c r="C33" s="20">
        <v>58</v>
      </c>
      <c r="D33" s="20">
        <v>65</v>
      </c>
      <c r="E33" s="20">
        <v>76</v>
      </c>
      <c r="F33" s="20">
        <v>48</v>
      </c>
      <c r="G33" s="20">
        <v>28</v>
      </c>
      <c r="H33" s="64">
        <f t="shared" si="0"/>
        <v>263</v>
      </c>
      <c r="I33" s="64">
        <v>50</v>
      </c>
      <c r="J33" s="64">
        <v>67</v>
      </c>
      <c r="K33" s="64">
        <v>62</v>
      </c>
      <c r="L33" s="64">
        <v>116</v>
      </c>
      <c r="M33" s="64">
        <v>56</v>
      </c>
      <c r="N33" s="64">
        <v>60</v>
      </c>
      <c r="O33" s="64">
        <v>295</v>
      </c>
      <c r="P33" s="71"/>
      <c r="Q33" s="71"/>
      <c r="R33" s="71"/>
      <c r="S33" s="71"/>
      <c r="T33" s="71"/>
      <c r="U33" s="71"/>
      <c r="V33" s="71"/>
      <c r="W33" s="71">
        <v>56</v>
      </c>
      <c r="X33" s="71">
        <v>41</v>
      </c>
      <c r="Y33" s="71">
        <v>84</v>
      </c>
      <c r="Z33" s="71">
        <f t="shared" si="4"/>
        <v>96</v>
      </c>
      <c r="AA33" s="71">
        <v>50</v>
      </c>
      <c r="AB33" s="71">
        <v>46</v>
      </c>
      <c r="AC33" s="64">
        <f t="shared" si="2"/>
        <v>277</v>
      </c>
    </row>
    <row r="34" spans="1:29" ht="17.5" x14ac:dyDescent="0.25">
      <c r="A34" s="19" t="s">
        <v>423</v>
      </c>
      <c r="B34" s="20">
        <v>70</v>
      </c>
      <c r="C34" s="20">
        <v>65</v>
      </c>
      <c r="D34" s="20">
        <v>52</v>
      </c>
      <c r="E34" s="20">
        <v>98</v>
      </c>
      <c r="F34" s="20">
        <v>68</v>
      </c>
      <c r="G34" s="20">
        <v>30</v>
      </c>
      <c r="H34" s="64">
        <f t="shared" si="0"/>
        <v>285</v>
      </c>
      <c r="I34" s="64">
        <v>66</v>
      </c>
      <c r="J34" s="64">
        <v>74</v>
      </c>
      <c r="K34" s="64">
        <v>80</v>
      </c>
      <c r="L34" s="64">
        <v>122</v>
      </c>
      <c r="M34" s="64">
        <v>68</v>
      </c>
      <c r="N34" s="64">
        <v>54</v>
      </c>
      <c r="O34" s="64">
        <v>342</v>
      </c>
      <c r="P34" s="64">
        <v>64</v>
      </c>
      <c r="Q34" s="64">
        <v>57</v>
      </c>
      <c r="R34" s="64">
        <v>83</v>
      </c>
      <c r="S34" s="71">
        <v>139</v>
      </c>
      <c r="T34" s="64">
        <v>57</v>
      </c>
      <c r="U34" s="64">
        <v>82</v>
      </c>
      <c r="V34" s="64">
        <v>343</v>
      </c>
      <c r="W34" s="64">
        <v>66</v>
      </c>
      <c r="X34" s="64">
        <v>43</v>
      </c>
      <c r="Y34" s="64">
        <v>92</v>
      </c>
      <c r="Z34" s="71">
        <f t="shared" si="4"/>
        <v>128</v>
      </c>
      <c r="AA34" s="64">
        <v>56</v>
      </c>
      <c r="AB34" s="64">
        <v>72</v>
      </c>
      <c r="AC34" s="64">
        <f t="shared" si="2"/>
        <v>329</v>
      </c>
    </row>
    <row r="35" spans="1:29" ht="17.5" x14ac:dyDescent="0.25">
      <c r="A35" s="19" t="s">
        <v>424</v>
      </c>
      <c r="B35" s="20">
        <v>72</v>
      </c>
      <c r="C35" s="20">
        <v>84</v>
      </c>
      <c r="D35" s="20">
        <v>51</v>
      </c>
      <c r="E35" s="20">
        <v>86</v>
      </c>
      <c r="F35" s="20">
        <v>52</v>
      </c>
      <c r="G35" s="20">
        <v>34</v>
      </c>
      <c r="H35" s="64">
        <f t="shared" si="0"/>
        <v>293</v>
      </c>
      <c r="I35" s="68"/>
      <c r="J35" s="67"/>
      <c r="K35" s="67"/>
      <c r="L35" s="67"/>
      <c r="M35" s="67"/>
      <c r="N35" s="67"/>
      <c r="O35" s="67"/>
      <c r="P35" s="20"/>
      <c r="Q35" s="20"/>
      <c r="R35" s="20"/>
      <c r="S35" s="20"/>
      <c r="T35" s="20"/>
      <c r="U35" s="20"/>
      <c r="V35" s="20"/>
      <c r="W35" s="71"/>
      <c r="X35" s="71"/>
      <c r="Y35" s="71"/>
      <c r="Z35" s="71"/>
      <c r="AA35" s="71"/>
      <c r="AB35" s="71"/>
      <c r="AC35" s="64"/>
    </row>
    <row r="36" spans="1:29" ht="17.5" x14ac:dyDescent="0.25">
      <c r="A36" s="19" t="s">
        <v>425</v>
      </c>
      <c r="B36" s="20">
        <v>92</v>
      </c>
      <c r="C36" s="20">
        <v>93</v>
      </c>
      <c r="D36" s="20">
        <v>65</v>
      </c>
      <c r="E36" s="20">
        <v>90</v>
      </c>
      <c r="F36" s="20">
        <v>50</v>
      </c>
      <c r="G36" s="20">
        <v>40</v>
      </c>
      <c r="H36" s="64">
        <f t="shared" si="0"/>
        <v>340</v>
      </c>
      <c r="I36" s="64">
        <v>76</v>
      </c>
      <c r="J36" s="64">
        <v>85</v>
      </c>
      <c r="K36" s="64">
        <v>58</v>
      </c>
      <c r="L36" s="64">
        <v>110</v>
      </c>
      <c r="M36" s="64">
        <v>66</v>
      </c>
      <c r="N36" s="64">
        <v>44</v>
      </c>
      <c r="O36" s="64">
        <v>329</v>
      </c>
      <c r="P36" s="64">
        <v>84</v>
      </c>
      <c r="Q36" s="64">
        <v>86</v>
      </c>
      <c r="R36" s="64">
        <v>89</v>
      </c>
      <c r="S36" s="71">
        <v>132</v>
      </c>
      <c r="T36" s="64">
        <v>50</v>
      </c>
      <c r="U36" s="64">
        <v>82</v>
      </c>
      <c r="V36" s="64">
        <v>391</v>
      </c>
      <c r="W36" s="64">
        <v>82</v>
      </c>
      <c r="X36" s="64">
        <v>86</v>
      </c>
      <c r="Y36" s="64">
        <v>83</v>
      </c>
      <c r="Z36" s="71">
        <f t="shared" si="4"/>
        <v>111</v>
      </c>
      <c r="AA36" s="64">
        <v>45</v>
      </c>
      <c r="AB36" s="64">
        <v>66</v>
      </c>
      <c r="AC36" s="64">
        <f t="shared" ref="AC36:AC52" si="5">SUM(W36:Z36)</f>
        <v>362</v>
      </c>
    </row>
    <row r="37" spans="1:29" ht="17.5" x14ac:dyDescent="0.25">
      <c r="A37" s="19" t="s">
        <v>426</v>
      </c>
      <c r="B37" s="20">
        <v>74</v>
      </c>
      <c r="C37" s="20">
        <v>46</v>
      </c>
      <c r="D37" s="20">
        <v>67</v>
      </c>
      <c r="E37" s="20">
        <v>64</v>
      </c>
      <c r="F37" s="20">
        <v>42</v>
      </c>
      <c r="G37" s="20">
        <v>22</v>
      </c>
      <c r="H37" s="64">
        <f t="shared" si="0"/>
        <v>251</v>
      </c>
      <c r="I37" s="64">
        <v>58</v>
      </c>
      <c r="J37" s="64">
        <v>62</v>
      </c>
      <c r="K37" s="64">
        <v>73</v>
      </c>
      <c r="L37" s="64">
        <v>100</v>
      </c>
      <c r="M37" s="64">
        <v>48</v>
      </c>
      <c r="N37" s="64">
        <v>52</v>
      </c>
      <c r="O37" s="64">
        <v>293</v>
      </c>
      <c r="P37" s="64">
        <v>74</v>
      </c>
      <c r="Q37" s="64">
        <v>52</v>
      </c>
      <c r="R37" s="64">
        <v>86</v>
      </c>
      <c r="S37" s="71">
        <v>125</v>
      </c>
      <c r="T37" s="64">
        <v>47</v>
      </c>
      <c r="U37" s="64">
        <v>78</v>
      </c>
      <c r="V37" s="64">
        <v>337</v>
      </c>
      <c r="W37" s="71"/>
      <c r="X37" s="71"/>
      <c r="Y37" s="71"/>
      <c r="Z37" s="71"/>
      <c r="AA37" s="71"/>
      <c r="AB37" s="71"/>
      <c r="AC37" s="64"/>
    </row>
    <row r="38" spans="1:29" ht="17.5" x14ac:dyDescent="0.25">
      <c r="A38" s="19" t="s">
        <v>427</v>
      </c>
      <c r="B38" s="20">
        <v>48</v>
      </c>
      <c r="C38" s="20">
        <v>37</v>
      </c>
      <c r="D38" s="20">
        <v>79</v>
      </c>
      <c r="E38" s="20">
        <v>82</v>
      </c>
      <c r="F38" s="20">
        <v>56</v>
      </c>
      <c r="G38" s="20">
        <v>26</v>
      </c>
      <c r="H38" s="64">
        <f t="shared" si="0"/>
        <v>246</v>
      </c>
      <c r="I38" s="64">
        <v>50</v>
      </c>
      <c r="J38" s="64">
        <v>40</v>
      </c>
      <c r="K38" s="64">
        <v>71</v>
      </c>
      <c r="L38" s="64">
        <v>114</v>
      </c>
      <c r="M38" s="64">
        <v>54</v>
      </c>
      <c r="N38" s="64">
        <v>60</v>
      </c>
      <c r="O38" s="64">
        <v>275</v>
      </c>
      <c r="P38" s="71"/>
      <c r="Q38" s="71"/>
      <c r="R38" s="71"/>
      <c r="S38" s="71"/>
      <c r="T38" s="71"/>
      <c r="U38" s="71"/>
      <c r="V38" s="71"/>
      <c r="W38" s="71">
        <v>66</v>
      </c>
      <c r="X38" s="71">
        <v>34</v>
      </c>
      <c r="Y38" s="71">
        <v>72</v>
      </c>
      <c r="Z38" s="71">
        <f t="shared" si="4"/>
        <v>96</v>
      </c>
      <c r="AA38" s="71">
        <v>50</v>
      </c>
      <c r="AB38" s="71">
        <v>46</v>
      </c>
      <c r="AC38" s="64">
        <f t="shared" si="5"/>
        <v>268</v>
      </c>
    </row>
    <row r="39" spans="1:29" ht="17.5" x14ac:dyDescent="0.25">
      <c r="A39" s="19" t="s">
        <v>428</v>
      </c>
      <c r="B39" s="20">
        <v>60</v>
      </c>
      <c r="C39" s="20">
        <v>34</v>
      </c>
      <c r="D39" s="20">
        <v>72</v>
      </c>
      <c r="E39" s="20">
        <v>76</v>
      </c>
      <c r="F39" s="20">
        <v>48</v>
      </c>
      <c r="G39" s="20">
        <v>28</v>
      </c>
      <c r="H39" s="64">
        <f t="shared" si="0"/>
        <v>242</v>
      </c>
      <c r="I39" s="64">
        <v>58</v>
      </c>
      <c r="J39" s="64">
        <v>48</v>
      </c>
      <c r="K39" s="64">
        <v>89</v>
      </c>
      <c r="L39" s="64">
        <v>102</v>
      </c>
      <c r="M39" s="64">
        <v>56</v>
      </c>
      <c r="N39" s="64">
        <v>46</v>
      </c>
      <c r="O39" s="64">
        <v>297</v>
      </c>
      <c r="P39" s="71"/>
      <c r="Q39" s="71"/>
      <c r="R39" s="71"/>
      <c r="S39" s="71"/>
      <c r="T39" s="71"/>
      <c r="U39" s="71"/>
      <c r="V39" s="71"/>
      <c r="W39" s="71">
        <v>72</v>
      </c>
      <c r="X39" s="71">
        <v>47</v>
      </c>
      <c r="Y39" s="71">
        <v>86</v>
      </c>
      <c r="Z39" s="71">
        <f t="shared" si="4"/>
        <v>104</v>
      </c>
      <c r="AA39" s="71">
        <v>60</v>
      </c>
      <c r="AB39" s="71">
        <v>44</v>
      </c>
      <c r="AC39" s="64">
        <f t="shared" si="5"/>
        <v>309</v>
      </c>
    </row>
    <row r="40" spans="1:29" ht="17.5" x14ac:dyDescent="0.25">
      <c r="A40" s="19" t="s">
        <v>429</v>
      </c>
      <c r="B40" s="20">
        <v>62</v>
      </c>
      <c r="C40" s="20">
        <v>34</v>
      </c>
      <c r="D40" s="20">
        <v>73</v>
      </c>
      <c r="E40" s="20">
        <v>76</v>
      </c>
      <c r="F40" s="20">
        <v>50</v>
      </c>
      <c r="G40" s="20">
        <v>26</v>
      </c>
      <c r="H40" s="64">
        <f t="shared" si="0"/>
        <v>245</v>
      </c>
      <c r="I40" s="64">
        <v>56</v>
      </c>
      <c r="J40" s="64">
        <v>59</v>
      </c>
      <c r="K40" s="64">
        <v>91</v>
      </c>
      <c r="L40" s="64">
        <v>134</v>
      </c>
      <c r="M40" s="64">
        <v>74</v>
      </c>
      <c r="N40" s="64">
        <v>60</v>
      </c>
      <c r="O40" s="64">
        <v>340</v>
      </c>
      <c r="P40" s="64">
        <v>68</v>
      </c>
      <c r="Q40" s="64">
        <v>31</v>
      </c>
      <c r="R40" s="64">
        <v>76</v>
      </c>
      <c r="S40" s="71">
        <v>130</v>
      </c>
      <c r="T40" s="64">
        <v>50</v>
      </c>
      <c r="U40" s="64">
        <v>80</v>
      </c>
      <c r="V40" s="64">
        <v>305</v>
      </c>
      <c r="W40" s="64">
        <v>82</v>
      </c>
      <c r="X40" s="64">
        <v>38</v>
      </c>
      <c r="Y40" s="64">
        <v>79</v>
      </c>
      <c r="Z40" s="71">
        <f t="shared" si="4"/>
        <v>120</v>
      </c>
      <c r="AA40" s="64">
        <v>56</v>
      </c>
      <c r="AB40" s="64">
        <v>64</v>
      </c>
      <c r="AC40" s="64">
        <f t="shared" si="5"/>
        <v>319</v>
      </c>
    </row>
    <row r="41" spans="1:29" ht="17.5" x14ac:dyDescent="0.25">
      <c r="A41" s="19" t="s">
        <v>430</v>
      </c>
      <c r="B41" s="20">
        <v>48</v>
      </c>
      <c r="C41" s="20">
        <v>34</v>
      </c>
      <c r="D41" s="20">
        <v>67</v>
      </c>
      <c r="E41" s="20">
        <v>76</v>
      </c>
      <c r="F41" s="20">
        <v>52</v>
      </c>
      <c r="G41" s="20">
        <v>24</v>
      </c>
      <c r="H41" s="64">
        <f t="shared" si="0"/>
        <v>225</v>
      </c>
      <c r="I41" s="64">
        <v>44</v>
      </c>
      <c r="J41" s="64">
        <v>34</v>
      </c>
      <c r="K41" s="64">
        <v>59</v>
      </c>
      <c r="L41" s="64">
        <v>88</v>
      </c>
      <c r="M41" s="64">
        <v>40</v>
      </c>
      <c r="N41" s="64">
        <v>48</v>
      </c>
      <c r="O41" s="64">
        <v>225</v>
      </c>
      <c r="P41" s="64">
        <v>52</v>
      </c>
      <c r="Q41" s="64">
        <v>46</v>
      </c>
      <c r="R41" s="64">
        <v>51</v>
      </c>
      <c r="S41" s="71">
        <v>63</v>
      </c>
      <c r="T41" s="64">
        <v>35</v>
      </c>
      <c r="U41" s="64">
        <v>28</v>
      </c>
      <c r="V41" s="64">
        <v>212</v>
      </c>
      <c r="W41" s="64">
        <v>50</v>
      </c>
      <c r="X41" s="64">
        <v>30</v>
      </c>
      <c r="Y41" s="64">
        <v>62</v>
      </c>
      <c r="Z41" s="71">
        <f t="shared" si="4"/>
        <v>82</v>
      </c>
      <c r="AA41" s="64">
        <v>40</v>
      </c>
      <c r="AB41" s="64">
        <v>42</v>
      </c>
      <c r="AC41" s="64">
        <f t="shared" si="5"/>
        <v>224</v>
      </c>
    </row>
    <row r="42" spans="1:29" ht="17.5" x14ac:dyDescent="0.25">
      <c r="A42" s="19" t="s">
        <v>431</v>
      </c>
      <c r="B42" s="20">
        <v>84</v>
      </c>
      <c r="C42" s="20">
        <v>79</v>
      </c>
      <c r="D42" s="20">
        <v>76</v>
      </c>
      <c r="E42" s="20">
        <v>64</v>
      </c>
      <c r="F42" s="20">
        <v>40</v>
      </c>
      <c r="G42" s="20">
        <v>24</v>
      </c>
      <c r="H42" s="64">
        <f t="shared" si="0"/>
        <v>303</v>
      </c>
      <c r="I42" s="64">
        <v>86</v>
      </c>
      <c r="J42" s="64">
        <v>79</v>
      </c>
      <c r="K42" s="64">
        <v>92</v>
      </c>
      <c r="L42" s="64">
        <v>108</v>
      </c>
      <c r="M42" s="64">
        <v>54</v>
      </c>
      <c r="N42" s="64">
        <v>54</v>
      </c>
      <c r="O42" s="64">
        <v>365</v>
      </c>
      <c r="P42" s="64">
        <v>98</v>
      </c>
      <c r="Q42" s="64">
        <v>90</v>
      </c>
      <c r="R42" s="64">
        <v>88</v>
      </c>
      <c r="S42" s="71">
        <v>133</v>
      </c>
      <c r="T42" s="64">
        <v>53</v>
      </c>
      <c r="U42" s="64">
        <v>80</v>
      </c>
      <c r="V42" s="64">
        <v>409</v>
      </c>
      <c r="W42" s="71"/>
      <c r="X42" s="71"/>
      <c r="Y42" s="71"/>
      <c r="Z42" s="71"/>
      <c r="AA42" s="71"/>
      <c r="AB42" s="71"/>
      <c r="AC42" s="64"/>
    </row>
    <row r="43" spans="1:29" ht="17.5" x14ac:dyDescent="0.25">
      <c r="A43" s="19" t="s">
        <v>270</v>
      </c>
      <c r="B43" s="20">
        <v>88</v>
      </c>
      <c r="C43" s="20">
        <v>64</v>
      </c>
      <c r="D43" s="20">
        <v>64</v>
      </c>
      <c r="E43" s="20">
        <v>70</v>
      </c>
      <c r="F43" s="20">
        <v>46</v>
      </c>
      <c r="G43" s="20">
        <v>24</v>
      </c>
      <c r="H43" s="64">
        <f t="shared" si="0"/>
        <v>286</v>
      </c>
      <c r="I43" s="64">
        <v>82</v>
      </c>
      <c r="J43" s="64">
        <v>79</v>
      </c>
      <c r="K43" s="64">
        <v>83</v>
      </c>
      <c r="L43" s="64">
        <v>138</v>
      </c>
      <c r="M43" s="64">
        <v>78</v>
      </c>
      <c r="N43" s="64">
        <v>60</v>
      </c>
      <c r="O43" s="64">
        <v>382</v>
      </c>
      <c r="P43" s="64">
        <v>84</v>
      </c>
      <c r="Q43" s="64">
        <v>77</v>
      </c>
      <c r="R43" s="64">
        <v>80</v>
      </c>
      <c r="S43" s="71">
        <v>116</v>
      </c>
      <c r="T43" s="64">
        <v>48</v>
      </c>
      <c r="U43" s="64">
        <v>68</v>
      </c>
      <c r="V43" s="64">
        <v>357</v>
      </c>
      <c r="W43" s="71"/>
      <c r="X43" s="71"/>
      <c r="Y43" s="71"/>
      <c r="Z43" s="71"/>
      <c r="AA43" s="71"/>
      <c r="AB43" s="71"/>
      <c r="AC43" s="64"/>
    </row>
    <row r="44" spans="1:29" ht="17.5" x14ac:dyDescent="0.25">
      <c r="A44" s="19" t="s">
        <v>432</v>
      </c>
      <c r="B44" s="20">
        <v>68</v>
      </c>
      <c r="C44" s="20">
        <v>76</v>
      </c>
      <c r="D44" s="20">
        <v>59</v>
      </c>
      <c r="E44" s="20">
        <v>76</v>
      </c>
      <c r="F44" s="20">
        <v>50</v>
      </c>
      <c r="G44" s="20">
        <v>26</v>
      </c>
      <c r="H44" s="64">
        <f t="shared" si="0"/>
        <v>279</v>
      </c>
      <c r="I44" s="64">
        <v>72</v>
      </c>
      <c r="J44" s="64">
        <v>76</v>
      </c>
      <c r="K44" s="64">
        <v>68</v>
      </c>
      <c r="L44" s="64">
        <v>106</v>
      </c>
      <c r="M44" s="64">
        <v>74</v>
      </c>
      <c r="N44" s="64">
        <v>32</v>
      </c>
      <c r="O44" s="64">
        <v>322</v>
      </c>
      <c r="P44" s="64">
        <v>64</v>
      </c>
      <c r="Q44" s="64">
        <v>68</v>
      </c>
      <c r="R44" s="64">
        <v>66</v>
      </c>
      <c r="S44" s="71">
        <v>103</v>
      </c>
      <c r="T44" s="64">
        <v>41</v>
      </c>
      <c r="U44" s="64">
        <v>62</v>
      </c>
      <c r="V44" s="64">
        <v>301</v>
      </c>
      <c r="W44" s="64">
        <v>80</v>
      </c>
      <c r="X44" s="64">
        <v>73</v>
      </c>
      <c r="Y44" s="64">
        <v>89</v>
      </c>
      <c r="Z44" s="71">
        <f t="shared" si="4"/>
        <v>108</v>
      </c>
      <c r="AA44" s="64">
        <v>48</v>
      </c>
      <c r="AB44" s="64">
        <v>60</v>
      </c>
      <c r="AC44" s="64">
        <f t="shared" si="5"/>
        <v>350</v>
      </c>
    </row>
    <row r="45" spans="1:29" ht="17.5" x14ac:dyDescent="0.25">
      <c r="A45" s="19" t="s">
        <v>433</v>
      </c>
      <c r="B45" s="20">
        <v>84</v>
      </c>
      <c r="C45" s="20">
        <v>77</v>
      </c>
      <c r="D45" s="20">
        <v>49</v>
      </c>
      <c r="E45" s="20">
        <v>68</v>
      </c>
      <c r="F45" s="20">
        <v>40</v>
      </c>
      <c r="G45" s="20">
        <v>28</v>
      </c>
      <c r="H45" s="64">
        <f t="shared" si="0"/>
        <v>278</v>
      </c>
      <c r="I45" s="64">
        <v>84</v>
      </c>
      <c r="J45" s="64">
        <v>89</v>
      </c>
      <c r="K45" s="64">
        <v>88</v>
      </c>
      <c r="L45" s="64">
        <v>112</v>
      </c>
      <c r="M45" s="64">
        <v>64</v>
      </c>
      <c r="N45" s="64">
        <v>48</v>
      </c>
      <c r="O45" s="64">
        <v>373</v>
      </c>
      <c r="P45" s="64">
        <v>88</v>
      </c>
      <c r="Q45" s="64">
        <v>90</v>
      </c>
      <c r="R45" s="64">
        <v>86</v>
      </c>
      <c r="S45" s="71">
        <v>116</v>
      </c>
      <c r="T45" s="64">
        <v>50</v>
      </c>
      <c r="U45" s="64">
        <v>66</v>
      </c>
      <c r="V45" s="64">
        <v>380</v>
      </c>
      <c r="W45" s="64">
        <v>88</v>
      </c>
      <c r="X45" s="64">
        <v>92</v>
      </c>
      <c r="Y45" s="64">
        <v>89</v>
      </c>
      <c r="Z45" s="71">
        <f t="shared" si="4"/>
        <v>114</v>
      </c>
      <c r="AA45" s="64">
        <v>54</v>
      </c>
      <c r="AB45" s="64">
        <v>60</v>
      </c>
      <c r="AC45" s="64">
        <f t="shared" si="5"/>
        <v>383</v>
      </c>
    </row>
    <row r="46" spans="1:29" ht="17.5" x14ac:dyDescent="0.25">
      <c r="A46" s="19" t="s">
        <v>434</v>
      </c>
      <c r="B46" s="20">
        <v>64</v>
      </c>
      <c r="C46" s="20">
        <v>56</v>
      </c>
      <c r="D46" s="20">
        <v>56</v>
      </c>
      <c r="E46" s="20">
        <v>66</v>
      </c>
      <c r="F46" s="20">
        <v>40</v>
      </c>
      <c r="G46" s="20">
        <v>26</v>
      </c>
      <c r="H46" s="64">
        <f t="shared" si="0"/>
        <v>242</v>
      </c>
      <c r="I46" s="64">
        <v>58</v>
      </c>
      <c r="J46" s="64">
        <v>56</v>
      </c>
      <c r="K46" s="64">
        <v>48</v>
      </c>
      <c r="L46" s="64">
        <v>90</v>
      </c>
      <c r="M46" s="64">
        <v>52</v>
      </c>
      <c r="N46" s="64">
        <v>38</v>
      </c>
      <c r="O46" s="64">
        <v>252</v>
      </c>
      <c r="P46" s="64">
        <v>68</v>
      </c>
      <c r="Q46" s="64">
        <v>60</v>
      </c>
      <c r="R46" s="64">
        <v>83</v>
      </c>
      <c r="S46" s="71">
        <v>93</v>
      </c>
      <c r="T46" s="64">
        <v>37</v>
      </c>
      <c r="U46" s="64">
        <v>56</v>
      </c>
      <c r="V46" s="64">
        <v>304</v>
      </c>
      <c r="W46" s="71"/>
      <c r="X46" s="71"/>
      <c r="Y46" s="71"/>
      <c r="Z46" s="71"/>
      <c r="AA46" s="71"/>
      <c r="AB46" s="71"/>
      <c r="AC46" s="64"/>
    </row>
    <row r="47" spans="1:29" ht="17.5" x14ac:dyDescent="0.25">
      <c r="A47" s="19" t="s">
        <v>435</v>
      </c>
      <c r="B47" s="20">
        <v>54</v>
      </c>
      <c r="C47" s="20">
        <v>47</v>
      </c>
      <c r="D47" s="20">
        <v>61</v>
      </c>
      <c r="E47" s="20">
        <v>64</v>
      </c>
      <c r="F47" s="20">
        <v>42</v>
      </c>
      <c r="G47" s="20">
        <v>22</v>
      </c>
      <c r="H47" s="64">
        <f t="shared" si="0"/>
        <v>226</v>
      </c>
      <c r="I47" s="64">
        <v>46</v>
      </c>
      <c r="J47" s="64">
        <v>69</v>
      </c>
      <c r="K47" s="64">
        <v>71</v>
      </c>
      <c r="L47" s="64">
        <v>100</v>
      </c>
      <c r="M47" s="64">
        <v>50</v>
      </c>
      <c r="N47" s="64">
        <v>50</v>
      </c>
      <c r="O47" s="64">
        <v>286</v>
      </c>
      <c r="P47" s="71"/>
      <c r="Q47" s="71"/>
      <c r="R47" s="71"/>
      <c r="S47" s="71"/>
      <c r="T47" s="71"/>
      <c r="U47" s="71"/>
      <c r="V47" s="71"/>
      <c r="W47" s="71">
        <v>86</v>
      </c>
      <c r="X47" s="71">
        <v>74</v>
      </c>
      <c r="Y47" s="71">
        <v>56</v>
      </c>
      <c r="Z47" s="71">
        <f t="shared" si="4"/>
        <v>102</v>
      </c>
      <c r="AA47" s="71">
        <v>48</v>
      </c>
      <c r="AB47" s="71">
        <v>54</v>
      </c>
      <c r="AC47" s="64">
        <f t="shared" si="5"/>
        <v>318</v>
      </c>
    </row>
    <row r="48" spans="1:29" ht="17.5" x14ac:dyDescent="0.25">
      <c r="A48" s="19" t="s">
        <v>321</v>
      </c>
      <c r="B48" s="20">
        <v>48</v>
      </c>
      <c r="C48" s="20">
        <v>44</v>
      </c>
      <c r="D48" s="20">
        <v>50</v>
      </c>
      <c r="E48" s="20">
        <v>88</v>
      </c>
      <c r="F48" s="20">
        <v>58</v>
      </c>
      <c r="G48" s="20">
        <v>30</v>
      </c>
      <c r="H48" s="64">
        <f t="shared" si="0"/>
        <v>230</v>
      </c>
      <c r="I48" s="64">
        <v>62</v>
      </c>
      <c r="J48" s="64">
        <v>67</v>
      </c>
      <c r="K48" s="64">
        <v>71</v>
      </c>
      <c r="L48" s="64">
        <v>94</v>
      </c>
      <c r="M48" s="64">
        <v>60</v>
      </c>
      <c r="N48" s="64">
        <v>34</v>
      </c>
      <c r="O48" s="64">
        <v>294</v>
      </c>
      <c r="P48" s="71"/>
      <c r="Q48" s="71"/>
      <c r="R48" s="71"/>
      <c r="S48" s="71"/>
      <c r="T48" s="71"/>
      <c r="U48" s="71"/>
      <c r="V48" s="71"/>
      <c r="W48" s="71">
        <v>64</v>
      </c>
      <c r="X48" s="71">
        <v>60</v>
      </c>
      <c r="Y48" s="71">
        <v>65</v>
      </c>
      <c r="Z48" s="71">
        <f t="shared" si="4"/>
        <v>52</v>
      </c>
      <c r="AA48" s="71">
        <v>30</v>
      </c>
      <c r="AB48" s="71">
        <v>22</v>
      </c>
      <c r="AC48" s="64">
        <f t="shared" si="5"/>
        <v>241</v>
      </c>
    </row>
    <row r="49" spans="1:29" ht="17.5" x14ac:dyDescent="0.25">
      <c r="A49" s="19" t="s">
        <v>436</v>
      </c>
      <c r="B49" s="20">
        <v>82</v>
      </c>
      <c r="C49" s="20">
        <v>75</v>
      </c>
      <c r="D49" s="20">
        <v>65</v>
      </c>
      <c r="E49" s="20">
        <v>88</v>
      </c>
      <c r="F49" s="20">
        <v>50</v>
      </c>
      <c r="G49" s="20">
        <v>38</v>
      </c>
      <c r="H49" s="64">
        <f t="shared" si="0"/>
        <v>310</v>
      </c>
      <c r="I49" s="64">
        <v>72</v>
      </c>
      <c r="J49" s="64">
        <v>64</v>
      </c>
      <c r="K49" s="64">
        <v>65</v>
      </c>
      <c r="L49" s="64">
        <v>114</v>
      </c>
      <c r="M49" s="64">
        <v>60</v>
      </c>
      <c r="N49" s="64">
        <v>54</v>
      </c>
      <c r="O49" s="64">
        <v>315</v>
      </c>
      <c r="P49" s="64">
        <v>74</v>
      </c>
      <c r="Q49" s="64">
        <v>56</v>
      </c>
      <c r="R49" s="64">
        <v>83</v>
      </c>
      <c r="S49" s="71">
        <v>90</v>
      </c>
      <c r="T49" s="64">
        <v>40</v>
      </c>
      <c r="U49" s="64">
        <v>50</v>
      </c>
      <c r="V49" s="64">
        <v>303</v>
      </c>
      <c r="W49" s="64">
        <v>80</v>
      </c>
      <c r="X49" s="64">
        <v>66</v>
      </c>
      <c r="Y49" s="64">
        <v>71</v>
      </c>
      <c r="Z49" s="71">
        <f t="shared" si="4"/>
        <v>90</v>
      </c>
      <c r="AA49" s="64">
        <v>38</v>
      </c>
      <c r="AB49" s="64">
        <v>52</v>
      </c>
      <c r="AC49" s="64">
        <f t="shared" si="5"/>
        <v>307</v>
      </c>
    </row>
    <row r="50" spans="1:29" ht="17.5" x14ac:dyDescent="0.25">
      <c r="A50" s="19" t="s">
        <v>437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64">
        <v>80</v>
      </c>
      <c r="Q50" s="64">
        <v>55</v>
      </c>
      <c r="R50" s="64">
        <v>78</v>
      </c>
      <c r="S50" s="71">
        <v>118</v>
      </c>
      <c r="T50" s="64">
        <v>54</v>
      </c>
      <c r="U50" s="64">
        <v>64</v>
      </c>
      <c r="V50" s="64">
        <v>331</v>
      </c>
      <c r="W50" s="64">
        <v>70</v>
      </c>
      <c r="X50" s="64">
        <v>63</v>
      </c>
      <c r="Y50" s="64">
        <v>75</v>
      </c>
      <c r="Z50" s="71">
        <f t="shared" si="4"/>
        <v>114</v>
      </c>
      <c r="AA50" s="64">
        <v>60</v>
      </c>
      <c r="AB50" s="64">
        <v>54</v>
      </c>
      <c r="AC50" s="64">
        <f t="shared" si="5"/>
        <v>322</v>
      </c>
    </row>
    <row r="51" spans="1:29" ht="17.5" x14ac:dyDescent="0.25">
      <c r="A51" s="19" t="s">
        <v>438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64">
        <v>86</v>
      </c>
      <c r="Q51" s="64">
        <v>52</v>
      </c>
      <c r="R51" s="64">
        <v>80</v>
      </c>
      <c r="S51" s="71">
        <v>119</v>
      </c>
      <c r="T51" s="64">
        <v>51</v>
      </c>
      <c r="U51" s="64">
        <v>68</v>
      </c>
      <c r="V51" s="64">
        <v>337</v>
      </c>
      <c r="W51" s="64">
        <v>84</v>
      </c>
      <c r="X51" s="64">
        <v>57</v>
      </c>
      <c r="Y51" s="64">
        <v>92</v>
      </c>
      <c r="Z51" s="71">
        <f t="shared" si="4"/>
        <v>103</v>
      </c>
      <c r="AA51" s="64">
        <v>49</v>
      </c>
      <c r="AB51" s="64">
        <v>54</v>
      </c>
      <c r="AC51" s="64">
        <f t="shared" si="5"/>
        <v>336</v>
      </c>
    </row>
    <row r="52" spans="1:29" x14ac:dyDescent="0.25">
      <c r="A52" s="27" t="s">
        <v>439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>
        <v>92</v>
      </c>
      <c r="X52" s="20">
        <v>66</v>
      </c>
      <c r="Y52" s="20">
        <v>84</v>
      </c>
      <c r="Z52" s="71">
        <f t="shared" si="4"/>
        <v>111</v>
      </c>
      <c r="AA52" s="20">
        <v>53</v>
      </c>
      <c r="AB52" s="20">
        <v>58</v>
      </c>
      <c r="AC52" s="64">
        <f t="shared" si="5"/>
        <v>353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W1:AC1"/>
    <mergeCell ref="B1:H1"/>
    <mergeCell ref="I1:O1"/>
    <mergeCell ref="P1:V1"/>
  </mergeCells>
  <phoneticPr fontId="15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49"/>
  <sheetViews>
    <sheetView zoomScale="70" zoomScaleNormal="70" workbookViewId="0">
      <pane xSplit="1" topLeftCell="B1" activePane="topRight" state="frozen"/>
      <selection pane="topRight" activeCell="H2" sqref="B2:H2"/>
    </sheetView>
  </sheetViews>
  <sheetFormatPr defaultColWidth="9.6328125" defaultRowHeight="14" x14ac:dyDescent="0.25"/>
  <cols>
    <col min="1" max="1" width="8.36328125" customWidth="1"/>
    <col min="2" max="4" width="5.453125" bestFit="1" customWidth="1"/>
    <col min="5" max="5" width="9.26953125" bestFit="1" customWidth="1"/>
    <col min="6" max="6" width="26.7265625" bestFit="1" customWidth="1"/>
    <col min="7" max="7" width="21" bestFit="1" customWidth="1"/>
    <col min="8" max="11" width="5.453125" bestFit="1" customWidth="1"/>
    <col min="12" max="12" width="9.26953125" bestFit="1" customWidth="1"/>
    <col min="13" max="13" width="26.7265625" bestFit="1" customWidth="1"/>
    <col min="14" max="14" width="21" bestFit="1" customWidth="1"/>
    <col min="15" max="18" width="5.453125" bestFit="1" customWidth="1"/>
    <col min="19" max="19" width="9.26953125" bestFit="1" customWidth="1"/>
    <col min="20" max="20" width="26.7265625" bestFit="1" customWidth="1"/>
    <col min="21" max="21" width="21" bestFit="1" customWidth="1"/>
    <col min="22" max="25" width="5.453125" bestFit="1" customWidth="1"/>
    <col min="26" max="26" width="9.26953125" bestFit="1" customWidth="1"/>
    <col min="27" max="27" width="26.7265625" bestFit="1" customWidth="1"/>
    <col min="28" max="28" width="21" bestFit="1" customWidth="1"/>
    <col min="29" max="29" width="5.453125" bestFit="1" customWidth="1"/>
  </cols>
  <sheetData>
    <row r="1" spans="1:29" ht="17.5" x14ac:dyDescent="0.25">
      <c r="A1" s="4"/>
      <c r="B1" s="97" t="s">
        <v>0</v>
      </c>
      <c r="C1" s="98"/>
      <c r="D1" s="98"/>
      <c r="E1" s="98"/>
      <c r="F1" s="98"/>
      <c r="G1" s="98"/>
      <c r="H1" s="98"/>
      <c r="I1" s="97" t="s">
        <v>1</v>
      </c>
      <c r="J1" s="98"/>
      <c r="K1" s="98"/>
      <c r="L1" s="98"/>
      <c r="M1" s="98"/>
      <c r="N1" s="98"/>
      <c r="O1" s="98"/>
      <c r="P1" s="97" t="s">
        <v>2</v>
      </c>
      <c r="Q1" s="98"/>
      <c r="R1" s="98"/>
      <c r="S1" s="98"/>
      <c r="T1" s="98"/>
      <c r="U1" s="98"/>
      <c r="V1" s="98"/>
      <c r="W1" s="97" t="s">
        <v>38</v>
      </c>
      <c r="X1" s="98"/>
      <c r="Y1" s="98"/>
      <c r="Z1" s="98"/>
      <c r="AA1" s="98"/>
      <c r="AB1" s="98"/>
      <c r="AC1" s="98"/>
    </row>
    <row r="2" spans="1:29" ht="17.5" x14ac:dyDescent="0.25">
      <c r="A2" s="19" t="s">
        <v>5</v>
      </c>
      <c r="B2" s="27" t="s">
        <v>3</v>
      </c>
      <c r="C2" s="27" t="s">
        <v>4</v>
      </c>
      <c r="D2" s="76" t="s">
        <v>530</v>
      </c>
      <c r="E2" s="27" t="s">
        <v>8</v>
      </c>
      <c r="F2" s="75" t="s">
        <v>534</v>
      </c>
      <c r="G2" s="75" t="s">
        <v>320</v>
      </c>
      <c r="H2" s="27" t="s">
        <v>9</v>
      </c>
      <c r="I2" s="27" t="s">
        <v>3</v>
      </c>
      <c r="J2" s="27" t="s">
        <v>4</v>
      </c>
      <c r="K2" s="76" t="s">
        <v>530</v>
      </c>
      <c r="L2" s="27" t="s">
        <v>8</v>
      </c>
      <c r="M2" s="75" t="s">
        <v>534</v>
      </c>
      <c r="N2" s="75" t="s">
        <v>320</v>
      </c>
      <c r="O2" s="27" t="s">
        <v>9</v>
      </c>
      <c r="P2" s="27" t="s">
        <v>3</v>
      </c>
      <c r="Q2" s="27" t="s">
        <v>4</v>
      </c>
      <c r="R2" s="76" t="s">
        <v>530</v>
      </c>
      <c r="S2" s="27" t="s">
        <v>8</v>
      </c>
      <c r="T2" s="75" t="s">
        <v>534</v>
      </c>
      <c r="U2" s="75" t="s">
        <v>320</v>
      </c>
      <c r="V2" s="27" t="s">
        <v>9</v>
      </c>
      <c r="W2" s="27" t="s">
        <v>3</v>
      </c>
      <c r="X2" s="27" t="s">
        <v>4</v>
      </c>
      <c r="Y2" s="76" t="s">
        <v>530</v>
      </c>
      <c r="Z2" s="27" t="s">
        <v>8</v>
      </c>
      <c r="AA2" s="75" t="s">
        <v>534</v>
      </c>
      <c r="AB2" s="75" t="s">
        <v>320</v>
      </c>
      <c r="AC2" s="27" t="s">
        <v>9</v>
      </c>
    </row>
    <row r="3" spans="1:29" ht="20" customHeight="1" x14ac:dyDescent="0.25">
      <c r="A3" s="73" t="s">
        <v>440</v>
      </c>
      <c r="B3" s="20">
        <v>72</v>
      </c>
      <c r="C3" s="20">
        <v>72</v>
      </c>
      <c r="D3" s="20">
        <v>69</v>
      </c>
      <c r="E3" s="20">
        <f t="shared" ref="E3:E19" si="0">F3+G3</f>
        <v>102</v>
      </c>
      <c r="F3" s="20">
        <v>50</v>
      </c>
      <c r="G3" s="20">
        <v>52</v>
      </c>
      <c r="H3" s="20">
        <f>B3+C3+D3+E3</f>
        <v>315</v>
      </c>
      <c r="I3" s="20">
        <v>62</v>
      </c>
      <c r="J3" s="20">
        <v>67</v>
      </c>
      <c r="K3" s="20">
        <v>71</v>
      </c>
      <c r="L3" s="20">
        <v>84</v>
      </c>
      <c r="M3" s="20">
        <v>54</v>
      </c>
      <c r="N3" s="20">
        <v>30</v>
      </c>
      <c r="O3" s="20">
        <f>I3+J3+K3+L3</f>
        <v>284</v>
      </c>
      <c r="P3" s="20">
        <v>76</v>
      </c>
      <c r="Q3" s="20">
        <v>53</v>
      </c>
      <c r="R3" s="20">
        <v>74</v>
      </c>
      <c r="S3" s="20">
        <f t="shared" ref="S3:S29" si="1">U3+T3</f>
        <v>87</v>
      </c>
      <c r="T3" s="20">
        <v>48</v>
      </c>
      <c r="U3" s="20">
        <v>39</v>
      </c>
      <c r="V3" s="20">
        <f t="shared" ref="V3:V29" si="2">S3+R3+Q3+P3</f>
        <v>290</v>
      </c>
      <c r="W3" s="27"/>
      <c r="X3" s="27"/>
      <c r="Y3" s="27"/>
      <c r="Z3" s="27"/>
      <c r="AA3" s="27"/>
      <c r="AB3" s="27"/>
      <c r="AC3" s="27"/>
    </row>
    <row r="4" spans="1:29" ht="20" customHeight="1" x14ac:dyDescent="0.25">
      <c r="A4" s="73" t="s">
        <v>441</v>
      </c>
      <c r="B4" s="20">
        <v>70</v>
      </c>
      <c r="C4" s="20">
        <v>56</v>
      </c>
      <c r="D4" s="20">
        <v>59</v>
      </c>
      <c r="E4" s="20">
        <f t="shared" si="0"/>
        <v>118</v>
      </c>
      <c r="F4" s="20">
        <v>68</v>
      </c>
      <c r="G4" s="20">
        <v>50</v>
      </c>
      <c r="H4" s="20">
        <f t="shared" ref="H4:H38" si="3">B4+C4+D4+E4</f>
        <v>303</v>
      </c>
      <c r="I4" s="20">
        <v>76</v>
      </c>
      <c r="J4" s="20">
        <v>48</v>
      </c>
      <c r="K4" s="20">
        <v>71</v>
      </c>
      <c r="L4" s="20">
        <v>98</v>
      </c>
      <c r="M4" s="20">
        <v>54</v>
      </c>
      <c r="N4" s="20">
        <v>44</v>
      </c>
      <c r="O4" s="20">
        <f t="shared" ref="O4:O36" si="4">I4+J4+K4+L4</f>
        <v>293</v>
      </c>
      <c r="P4" s="20">
        <v>76</v>
      </c>
      <c r="Q4" s="20">
        <v>68</v>
      </c>
      <c r="R4" s="20">
        <v>80</v>
      </c>
      <c r="S4" s="20">
        <f t="shared" si="1"/>
        <v>115</v>
      </c>
      <c r="T4" s="20">
        <v>68</v>
      </c>
      <c r="U4" s="20">
        <v>47</v>
      </c>
      <c r="V4" s="20">
        <f t="shared" si="2"/>
        <v>339</v>
      </c>
      <c r="W4" s="20">
        <v>72</v>
      </c>
      <c r="X4" s="20">
        <v>72</v>
      </c>
      <c r="Y4" s="20">
        <v>84</v>
      </c>
      <c r="Z4" s="20">
        <f t="shared" ref="Z4:Z48" si="5">AA4+AB4</f>
        <v>102</v>
      </c>
      <c r="AA4" s="20">
        <v>56</v>
      </c>
      <c r="AB4" s="20">
        <v>46</v>
      </c>
      <c r="AC4" s="20">
        <f>W4+X4+Y4+Z4</f>
        <v>330</v>
      </c>
    </row>
    <row r="5" spans="1:29" ht="20" customHeight="1" x14ac:dyDescent="0.25">
      <c r="A5" s="73" t="s">
        <v>442</v>
      </c>
      <c r="B5" s="20">
        <v>80</v>
      </c>
      <c r="C5" s="20">
        <v>78</v>
      </c>
      <c r="D5" s="20">
        <v>79</v>
      </c>
      <c r="E5" s="20">
        <f t="shared" si="0"/>
        <v>126</v>
      </c>
      <c r="F5" s="20">
        <v>66</v>
      </c>
      <c r="G5" s="20">
        <v>60</v>
      </c>
      <c r="H5" s="20">
        <f t="shared" si="3"/>
        <v>363</v>
      </c>
      <c r="I5" s="20">
        <v>82</v>
      </c>
      <c r="J5" s="20">
        <v>80</v>
      </c>
      <c r="K5" s="20">
        <v>85</v>
      </c>
      <c r="L5" s="20">
        <v>110</v>
      </c>
      <c r="M5" s="20">
        <v>58</v>
      </c>
      <c r="N5" s="20">
        <v>52</v>
      </c>
      <c r="O5" s="20">
        <f t="shared" si="4"/>
        <v>357</v>
      </c>
      <c r="P5" s="27"/>
      <c r="Q5" s="27"/>
      <c r="R5" s="27"/>
      <c r="S5" s="27"/>
      <c r="T5" s="27"/>
      <c r="U5" s="27"/>
      <c r="V5" s="27"/>
      <c r="W5" s="27">
        <v>90</v>
      </c>
      <c r="X5" s="27">
        <v>92</v>
      </c>
      <c r="Y5" s="27">
        <v>91</v>
      </c>
      <c r="Z5" s="20">
        <f t="shared" si="5"/>
        <v>122</v>
      </c>
      <c r="AA5" s="27">
        <v>66</v>
      </c>
      <c r="AB5" s="27">
        <v>56</v>
      </c>
      <c r="AC5" s="20">
        <f t="shared" ref="AC5:AC48" si="6">W5+X5+Y5+Z5</f>
        <v>395</v>
      </c>
    </row>
    <row r="6" spans="1:29" ht="20" customHeight="1" x14ac:dyDescent="0.25">
      <c r="A6" s="73" t="s">
        <v>443</v>
      </c>
      <c r="B6" s="20">
        <v>80</v>
      </c>
      <c r="C6" s="20">
        <v>58</v>
      </c>
      <c r="D6" s="20">
        <v>71</v>
      </c>
      <c r="E6" s="20">
        <f t="shared" si="0"/>
        <v>114</v>
      </c>
      <c r="F6" s="20">
        <v>58</v>
      </c>
      <c r="G6" s="20">
        <v>56</v>
      </c>
      <c r="H6" s="20">
        <f t="shared" si="3"/>
        <v>323</v>
      </c>
      <c r="I6" s="20">
        <v>84</v>
      </c>
      <c r="J6" s="20">
        <v>61</v>
      </c>
      <c r="K6" s="20">
        <v>78</v>
      </c>
      <c r="L6" s="20">
        <v>92</v>
      </c>
      <c r="M6" s="20">
        <v>50</v>
      </c>
      <c r="N6" s="20">
        <v>42</v>
      </c>
      <c r="O6" s="20">
        <f t="shared" si="4"/>
        <v>315</v>
      </c>
      <c r="P6" s="20">
        <v>74</v>
      </c>
      <c r="Q6" s="20">
        <v>61</v>
      </c>
      <c r="R6" s="20">
        <v>74</v>
      </c>
      <c r="S6" s="20">
        <f t="shared" si="1"/>
        <v>100</v>
      </c>
      <c r="T6" s="20">
        <v>52</v>
      </c>
      <c r="U6" s="20">
        <v>48</v>
      </c>
      <c r="V6" s="20">
        <f t="shared" si="2"/>
        <v>309</v>
      </c>
      <c r="W6" s="20">
        <v>92</v>
      </c>
      <c r="X6" s="20">
        <v>49</v>
      </c>
      <c r="Y6" s="20">
        <v>74</v>
      </c>
      <c r="Z6" s="20">
        <f t="shared" si="5"/>
        <v>112</v>
      </c>
      <c r="AA6" s="20">
        <v>58</v>
      </c>
      <c r="AB6" s="20">
        <v>54</v>
      </c>
      <c r="AC6" s="20">
        <f t="shared" si="6"/>
        <v>327</v>
      </c>
    </row>
    <row r="7" spans="1:29" ht="20" customHeight="1" x14ac:dyDescent="0.25">
      <c r="A7" s="73" t="s">
        <v>444</v>
      </c>
      <c r="B7" s="20">
        <v>84</v>
      </c>
      <c r="C7" s="20">
        <v>94</v>
      </c>
      <c r="D7" s="20">
        <v>73</v>
      </c>
      <c r="E7" s="20">
        <f t="shared" si="0"/>
        <v>114</v>
      </c>
      <c r="F7" s="20">
        <v>62</v>
      </c>
      <c r="G7" s="20">
        <v>52</v>
      </c>
      <c r="H7" s="20">
        <f t="shared" si="3"/>
        <v>365</v>
      </c>
      <c r="I7" s="20">
        <v>68</v>
      </c>
      <c r="J7" s="20">
        <v>90</v>
      </c>
      <c r="K7" s="20">
        <v>62</v>
      </c>
      <c r="L7" s="20">
        <v>114</v>
      </c>
      <c r="M7" s="20">
        <v>62</v>
      </c>
      <c r="N7" s="20">
        <v>52</v>
      </c>
      <c r="O7" s="20">
        <f t="shared" si="4"/>
        <v>334</v>
      </c>
      <c r="P7" s="20">
        <v>76</v>
      </c>
      <c r="Q7" s="20">
        <v>80</v>
      </c>
      <c r="R7" s="20">
        <v>86</v>
      </c>
      <c r="S7" s="20">
        <f t="shared" si="1"/>
        <v>123</v>
      </c>
      <c r="T7" s="20">
        <v>68</v>
      </c>
      <c r="U7" s="20">
        <v>55</v>
      </c>
      <c r="V7" s="20">
        <f t="shared" si="2"/>
        <v>365</v>
      </c>
      <c r="W7" s="27"/>
      <c r="X7" s="27"/>
      <c r="Y7" s="27"/>
      <c r="Z7" s="27"/>
      <c r="AA7" s="27"/>
      <c r="AB7" s="27"/>
      <c r="AC7" s="27"/>
    </row>
    <row r="8" spans="1:29" ht="20" customHeight="1" x14ac:dyDescent="0.25">
      <c r="A8" s="73" t="s">
        <v>445</v>
      </c>
      <c r="B8" s="20">
        <v>62</v>
      </c>
      <c r="C8" s="20">
        <v>79</v>
      </c>
      <c r="D8" s="20">
        <v>91</v>
      </c>
      <c r="E8" s="20">
        <f t="shared" si="0"/>
        <v>104</v>
      </c>
      <c r="F8" s="20">
        <v>62</v>
      </c>
      <c r="G8" s="20">
        <v>42</v>
      </c>
      <c r="H8" s="20">
        <f t="shared" si="3"/>
        <v>336</v>
      </c>
      <c r="I8" s="20">
        <v>64</v>
      </c>
      <c r="J8" s="20">
        <v>77</v>
      </c>
      <c r="K8" s="20">
        <v>88</v>
      </c>
      <c r="L8" s="20">
        <v>136</v>
      </c>
      <c r="M8" s="20">
        <v>82</v>
      </c>
      <c r="N8" s="20">
        <v>54</v>
      </c>
      <c r="O8" s="20">
        <f t="shared" si="4"/>
        <v>365</v>
      </c>
      <c r="P8" s="27"/>
      <c r="Q8" s="27"/>
      <c r="R8" s="27"/>
      <c r="S8" s="27"/>
      <c r="T8" s="27"/>
      <c r="U8" s="27"/>
      <c r="V8" s="27"/>
      <c r="W8" s="27">
        <v>92</v>
      </c>
      <c r="X8" s="27">
        <v>84</v>
      </c>
      <c r="Y8" s="27">
        <v>80</v>
      </c>
      <c r="Z8" s="20">
        <f t="shared" si="5"/>
        <v>107</v>
      </c>
      <c r="AA8" s="27">
        <v>56</v>
      </c>
      <c r="AB8" s="27">
        <v>51</v>
      </c>
      <c r="AC8" s="20">
        <f t="shared" si="6"/>
        <v>363</v>
      </c>
    </row>
    <row r="9" spans="1:29" ht="20" customHeight="1" x14ac:dyDescent="0.25">
      <c r="A9" s="73" t="s">
        <v>446</v>
      </c>
      <c r="B9" s="20">
        <v>92</v>
      </c>
      <c r="C9" s="20">
        <v>96</v>
      </c>
      <c r="D9" s="20">
        <v>80</v>
      </c>
      <c r="E9" s="20">
        <f t="shared" si="0"/>
        <v>84</v>
      </c>
      <c r="F9" s="20">
        <v>52</v>
      </c>
      <c r="G9" s="20">
        <v>32</v>
      </c>
      <c r="H9" s="20">
        <f t="shared" si="3"/>
        <v>352</v>
      </c>
      <c r="I9" s="20">
        <v>86</v>
      </c>
      <c r="J9" s="20">
        <v>91</v>
      </c>
      <c r="K9" s="20">
        <v>88</v>
      </c>
      <c r="L9" s="20">
        <v>92</v>
      </c>
      <c r="M9" s="20">
        <v>44</v>
      </c>
      <c r="N9" s="20">
        <v>48</v>
      </c>
      <c r="O9" s="20">
        <f t="shared" si="4"/>
        <v>357</v>
      </c>
      <c r="P9" s="27"/>
      <c r="Q9" s="27"/>
      <c r="R9" s="27"/>
      <c r="S9" s="27"/>
      <c r="T9" s="27"/>
      <c r="U9" s="27"/>
      <c r="V9" s="27"/>
      <c r="W9" s="27">
        <v>90</v>
      </c>
      <c r="X9" s="27">
        <v>90</v>
      </c>
      <c r="Y9" s="27">
        <v>86</v>
      </c>
      <c r="Z9" s="20">
        <f t="shared" si="5"/>
        <v>116</v>
      </c>
      <c r="AA9" s="27">
        <v>70</v>
      </c>
      <c r="AB9" s="27">
        <v>46</v>
      </c>
      <c r="AC9" s="20">
        <f t="shared" si="6"/>
        <v>382</v>
      </c>
    </row>
    <row r="10" spans="1:29" ht="20" customHeight="1" x14ac:dyDescent="0.25">
      <c r="A10" s="73" t="s">
        <v>447</v>
      </c>
      <c r="B10" s="20">
        <v>88</v>
      </c>
      <c r="C10" s="20">
        <v>91</v>
      </c>
      <c r="D10" s="20">
        <v>79</v>
      </c>
      <c r="E10" s="20">
        <f t="shared" si="0"/>
        <v>114</v>
      </c>
      <c r="F10" s="20">
        <v>64</v>
      </c>
      <c r="G10" s="20">
        <v>50</v>
      </c>
      <c r="H10" s="20">
        <f t="shared" si="3"/>
        <v>372</v>
      </c>
      <c r="I10" s="20">
        <v>86</v>
      </c>
      <c r="J10" s="20">
        <v>96</v>
      </c>
      <c r="K10" s="20">
        <v>79</v>
      </c>
      <c r="L10" s="20">
        <v>122</v>
      </c>
      <c r="M10" s="20">
        <v>74</v>
      </c>
      <c r="N10" s="20">
        <v>48</v>
      </c>
      <c r="O10" s="20">
        <f t="shared" si="4"/>
        <v>383</v>
      </c>
      <c r="P10" s="27"/>
      <c r="Q10" s="27"/>
      <c r="R10" s="27"/>
      <c r="S10" s="27"/>
      <c r="T10" s="27"/>
      <c r="U10" s="27"/>
      <c r="V10" s="27"/>
      <c r="W10" s="27">
        <v>92</v>
      </c>
      <c r="X10" s="27">
        <v>100</v>
      </c>
      <c r="Y10" s="27">
        <v>81</v>
      </c>
      <c r="Z10" s="20">
        <f t="shared" si="5"/>
        <v>118</v>
      </c>
      <c r="AA10" s="27">
        <v>70</v>
      </c>
      <c r="AB10" s="27">
        <v>48</v>
      </c>
      <c r="AC10" s="20">
        <f t="shared" si="6"/>
        <v>391</v>
      </c>
    </row>
    <row r="11" spans="1:29" ht="20" customHeight="1" x14ac:dyDescent="0.25">
      <c r="A11" s="73" t="s">
        <v>448</v>
      </c>
      <c r="B11" s="20">
        <v>70</v>
      </c>
      <c r="C11" s="20">
        <v>66</v>
      </c>
      <c r="D11" s="20">
        <v>74</v>
      </c>
      <c r="E11" s="20">
        <f t="shared" si="0"/>
        <v>66</v>
      </c>
      <c r="F11" s="20">
        <v>44</v>
      </c>
      <c r="G11" s="20">
        <v>22</v>
      </c>
      <c r="H11" s="20">
        <f t="shared" si="3"/>
        <v>276</v>
      </c>
      <c r="I11" s="20">
        <v>62</v>
      </c>
      <c r="J11" s="20">
        <v>70</v>
      </c>
      <c r="K11" s="20">
        <v>70</v>
      </c>
      <c r="L11" s="20">
        <v>110</v>
      </c>
      <c r="M11" s="20">
        <v>58</v>
      </c>
      <c r="N11" s="20">
        <v>52</v>
      </c>
      <c r="O11" s="20">
        <f t="shared" si="4"/>
        <v>312</v>
      </c>
      <c r="P11" s="20">
        <v>78</v>
      </c>
      <c r="Q11" s="20">
        <v>63</v>
      </c>
      <c r="R11" s="20">
        <v>74</v>
      </c>
      <c r="S11" s="20">
        <f t="shared" si="1"/>
        <v>115</v>
      </c>
      <c r="T11" s="20">
        <v>70</v>
      </c>
      <c r="U11" s="20">
        <v>45</v>
      </c>
      <c r="V11" s="20">
        <f t="shared" si="2"/>
        <v>330</v>
      </c>
      <c r="W11" s="27"/>
      <c r="X11" s="27"/>
      <c r="Y11" s="27"/>
      <c r="Z11" s="27"/>
      <c r="AA11" s="27"/>
      <c r="AB11" s="27"/>
      <c r="AC11" s="27"/>
    </row>
    <row r="12" spans="1:29" ht="20" customHeight="1" x14ac:dyDescent="0.25">
      <c r="A12" s="73" t="s">
        <v>449</v>
      </c>
      <c r="B12" s="20">
        <v>92</v>
      </c>
      <c r="C12" s="20">
        <v>72</v>
      </c>
      <c r="D12" s="20">
        <v>62</v>
      </c>
      <c r="E12" s="20">
        <f t="shared" si="0"/>
        <v>122</v>
      </c>
      <c r="F12" s="20">
        <v>72</v>
      </c>
      <c r="G12" s="20">
        <v>50</v>
      </c>
      <c r="H12" s="20">
        <f t="shared" si="3"/>
        <v>348</v>
      </c>
      <c r="I12" s="20">
        <v>76</v>
      </c>
      <c r="J12" s="20">
        <v>78</v>
      </c>
      <c r="K12" s="20">
        <v>79</v>
      </c>
      <c r="L12" s="20">
        <v>130</v>
      </c>
      <c r="M12" s="20">
        <v>70</v>
      </c>
      <c r="N12" s="20">
        <v>60</v>
      </c>
      <c r="O12" s="20">
        <f t="shared" si="4"/>
        <v>363</v>
      </c>
      <c r="P12" s="20">
        <v>81</v>
      </c>
      <c r="Q12" s="20">
        <v>68</v>
      </c>
      <c r="R12" s="20">
        <v>89</v>
      </c>
      <c r="S12" s="20">
        <f t="shared" si="1"/>
        <v>122</v>
      </c>
      <c r="T12" s="20">
        <v>68</v>
      </c>
      <c r="U12" s="20">
        <v>54</v>
      </c>
      <c r="V12" s="20">
        <f t="shared" si="2"/>
        <v>360</v>
      </c>
      <c r="W12" s="20">
        <v>90</v>
      </c>
      <c r="X12" s="20">
        <v>69</v>
      </c>
      <c r="Y12" s="20">
        <v>92</v>
      </c>
      <c r="Z12" s="20">
        <f t="shared" si="5"/>
        <v>118</v>
      </c>
      <c r="AA12" s="20">
        <v>62</v>
      </c>
      <c r="AB12" s="20">
        <v>56</v>
      </c>
      <c r="AC12" s="20">
        <f t="shared" si="6"/>
        <v>369</v>
      </c>
    </row>
    <row r="13" spans="1:29" ht="20" customHeight="1" x14ac:dyDescent="0.25">
      <c r="A13" s="73" t="s">
        <v>450</v>
      </c>
      <c r="B13" s="20">
        <v>84</v>
      </c>
      <c r="C13" s="20">
        <v>78</v>
      </c>
      <c r="D13" s="20">
        <v>77</v>
      </c>
      <c r="E13" s="20">
        <f t="shared" si="0"/>
        <v>116</v>
      </c>
      <c r="F13" s="20">
        <v>60</v>
      </c>
      <c r="G13" s="20">
        <v>56</v>
      </c>
      <c r="H13" s="20">
        <f t="shared" si="3"/>
        <v>355</v>
      </c>
      <c r="I13" s="20">
        <v>78</v>
      </c>
      <c r="J13" s="20">
        <v>84</v>
      </c>
      <c r="K13" s="20">
        <v>85</v>
      </c>
      <c r="L13" s="20">
        <v>117</v>
      </c>
      <c r="M13" s="20">
        <v>66</v>
      </c>
      <c r="N13" s="20">
        <v>52</v>
      </c>
      <c r="O13" s="20">
        <f t="shared" si="4"/>
        <v>364</v>
      </c>
      <c r="P13" s="20">
        <v>82</v>
      </c>
      <c r="Q13" s="20">
        <v>84</v>
      </c>
      <c r="R13" s="20">
        <v>72</v>
      </c>
      <c r="S13" s="20">
        <f t="shared" si="1"/>
        <v>128</v>
      </c>
      <c r="T13" s="20">
        <v>68</v>
      </c>
      <c r="U13" s="20">
        <v>60</v>
      </c>
      <c r="V13" s="20">
        <f t="shared" si="2"/>
        <v>366</v>
      </c>
      <c r="W13" s="20">
        <v>68</v>
      </c>
      <c r="X13" s="20">
        <v>89</v>
      </c>
      <c r="Y13" s="20">
        <v>80</v>
      </c>
      <c r="Z13" s="20">
        <f t="shared" si="5"/>
        <v>115</v>
      </c>
      <c r="AA13" s="20">
        <v>62</v>
      </c>
      <c r="AB13" s="20">
        <v>53</v>
      </c>
      <c r="AC13" s="20">
        <f t="shared" si="6"/>
        <v>352</v>
      </c>
    </row>
    <row r="14" spans="1:29" ht="20" customHeight="1" x14ac:dyDescent="0.25">
      <c r="A14" s="73" t="s">
        <v>451</v>
      </c>
      <c r="B14" s="20">
        <v>86</v>
      </c>
      <c r="C14" s="20">
        <v>87</v>
      </c>
      <c r="D14" s="20">
        <v>74</v>
      </c>
      <c r="E14" s="20">
        <f t="shared" si="0"/>
        <v>100</v>
      </c>
      <c r="F14" s="20">
        <v>46</v>
      </c>
      <c r="G14" s="20">
        <v>54</v>
      </c>
      <c r="H14" s="20">
        <f t="shared" si="3"/>
        <v>347</v>
      </c>
      <c r="I14" s="27"/>
      <c r="J14" s="27"/>
      <c r="K14" s="27"/>
      <c r="L14" s="27"/>
      <c r="M14" s="27"/>
      <c r="N14" s="27"/>
      <c r="O14" s="27"/>
      <c r="P14" s="27">
        <v>82</v>
      </c>
      <c r="Q14" s="27">
        <v>78</v>
      </c>
      <c r="R14" s="27">
        <v>86</v>
      </c>
      <c r="S14" s="20">
        <f t="shared" si="1"/>
        <v>120</v>
      </c>
      <c r="T14" s="27">
        <v>64</v>
      </c>
      <c r="U14" s="27">
        <v>56</v>
      </c>
      <c r="V14" s="20">
        <f t="shared" si="2"/>
        <v>366</v>
      </c>
      <c r="W14" s="27">
        <v>94</v>
      </c>
      <c r="X14" s="27">
        <v>87</v>
      </c>
      <c r="Y14" s="27">
        <v>95</v>
      </c>
      <c r="Z14" s="20">
        <f t="shared" si="5"/>
        <v>122</v>
      </c>
      <c r="AA14" s="27">
        <v>66</v>
      </c>
      <c r="AB14" s="27">
        <v>56</v>
      </c>
      <c r="AC14" s="20">
        <f t="shared" si="6"/>
        <v>398</v>
      </c>
    </row>
    <row r="15" spans="1:29" ht="20" customHeight="1" x14ac:dyDescent="0.25">
      <c r="A15" s="73" t="s">
        <v>452</v>
      </c>
      <c r="B15" s="20">
        <v>46</v>
      </c>
      <c r="C15" s="20">
        <v>95</v>
      </c>
      <c r="D15" s="20">
        <v>79</v>
      </c>
      <c r="E15" s="20">
        <f t="shared" si="0"/>
        <v>122</v>
      </c>
      <c r="F15" s="20">
        <v>64</v>
      </c>
      <c r="G15" s="20">
        <v>58</v>
      </c>
      <c r="H15" s="20">
        <f t="shared" si="3"/>
        <v>342</v>
      </c>
      <c r="I15" s="20">
        <v>30</v>
      </c>
      <c r="J15" s="20">
        <v>97</v>
      </c>
      <c r="K15" s="20">
        <v>91</v>
      </c>
      <c r="L15" s="20">
        <v>124</v>
      </c>
      <c r="M15" s="20">
        <v>70</v>
      </c>
      <c r="N15" s="20">
        <v>54</v>
      </c>
      <c r="O15" s="20">
        <f t="shared" si="4"/>
        <v>342</v>
      </c>
      <c r="P15" s="20">
        <v>24</v>
      </c>
      <c r="Q15" s="20">
        <v>95</v>
      </c>
      <c r="R15" s="20">
        <v>95</v>
      </c>
      <c r="S15" s="20">
        <f t="shared" si="1"/>
        <v>119</v>
      </c>
      <c r="T15" s="20">
        <v>62</v>
      </c>
      <c r="U15" s="20">
        <v>57</v>
      </c>
      <c r="V15" s="20">
        <f t="shared" si="2"/>
        <v>333</v>
      </c>
      <c r="W15" s="20">
        <v>24</v>
      </c>
      <c r="X15" s="20">
        <v>90</v>
      </c>
      <c r="Y15" s="20">
        <v>93</v>
      </c>
      <c r="Z15" s="20">
        <f t="shared" si="5"/>
        <v>108</v>
      </c>
      <c r="AA15" s="20">
        <v>62</v>
      </c>
      <c r="AB15" s="20">
        <v>46</v>
      </c>
      <c r="AC15" s="20">
        <f t="shared" si="6"/>
        <v>315</v>
      </c>
    </row>
    <row r="16" spans="1:29" ht="20" customHeight="1" x14ac:dyDescent="0.25">
      <c r="A16" s="73" t="s">
        <v>453</v>
      </c>
      <c r="B16" s="20">
        <v>62</v>
      </c>
      <c r="C16" s="20">
        <v>95</v>
      </c>
      <c r="D16" s="20">
        <v>48</v>
      </c>
      <c r="E16" s="20">
        <f t="shared" si="0"/>
        <v>82</v>
      </c>
      <c r="F16" s="20">
        <v>38</v>
      </c>
      <c r="G16" s="20">
        <v>44</v>
      </c>
      <c r="H16" s="20">
        <f t="shared" si="3"/>
        <v>287</v>
      </c>
      <c r="I16" s="27"/>
      <c r="J16" s="27"/>
      <c r="K16" s="27"/>
      <c r="L16" s="27"/>
      <c r="M16" s="27"/>
      <c r="N16" s="20"/>
      <c r="O16" s="20"/>
      <c r="P16" s="27">
        <v>64</v>
      </c>
      <c r="Q16" s="27">
        <v>95</v>
      </c>
      <c r="R16" s="27">
        <v>72</v>
      </c>
      <c r="S16" s="20">
        <f t="shared" si="1"/>
        <v>85</v>
      </c>
      <c r="T16" s="27">
        <v>46</v>
      </c>
      <c r="U16" s="20">
        <v>39</v>
      </c>
      <c r="V16" s="20">
        <f t="shared" si="2"/>
        <v>316</v>
      </c>
      <c r="W16" s="27">
        <v>60</v>
      </c>
      <c r="X16" s="27">
        <v>93</v>
      </c>
      <c r="Y16" s="27">
        <v>69</v>
      </c>
      <c r="Z16" s="20">
        <f t="shared" si="5"/>
        <v>86</v>
      </c>
      <c r="AA16" s="27">
        <v>48</v>
      </c>
      <c r="AB16" s="20">
        <v>38</v>
      </c>
      <c r="AC16" s="20">
        <f t="shared" si="6"/>
        <v>308</v>
      </c>
    </row>
    <row r="17" spans="1:29" ht="20" customHeight="1" x14ac:dyDescent="0.25">
      <c r="A17" s="73" t="s">
        <v>454</v>
      </c>
      <c r="B17" s="20">
        <v>78</v>
      </c>
      <c r="C17" s="20">
        <v>78</v>
      </c>
      <c r="D17" s="20">
        <v>58</v>
      </c>
      <c r="E17" s="20">
        <f t="shared" si="0"/>
        <v>96</v>
      </c>
      <c r="F17" s="20">
        <v>56</v>
      </c>
      <c r="G17" s="20">
        <v>40</v>
      </c>
      <c r="H17" s="20">
        <f t="shared" si="3"/>
        <v>310</v>
      </c>
      <c r="I17" s="27"/>
      <c r="J17" s="27"/>
      <c r="K17" s="27"/>
      <c r="L17" s="27"/>
      <c r="M17" s="27"/>
      <c r="N17" s="20"/>
      <c r="O17" s="20"/>
      <c r="P17" s="27">
        <v>64</v>
      </c>
      <c r="Q17" s="27">
        <v>71</v>
      </c>
      <c r="R17" s="27">
        <v>81</v>
      </c>
      <c r="S17" s="20">
        <f t="shared" si="1"/>
        <v>106</v>
      </c>
      <c r="T17" s="27">
        <v>56</v>
      </c>
      <c r="U17" s="20">
        <v>50</v>
      </c>
      <c r="V17" s="20">
        <f t="shared" si="2"/>
        <v>322</v>
      </c>
      <c r="W17" s="27">
        <v>78</v>
      </c>
      <c r="X17" s="27">
        <v>87</v>
      </c>
      <c r="Y17" s="27">
        <v>84</v>
      </c>
      <c r="Z17" s="20">
        <f t="shared" si="5"/>
        <v>108</v>
      </c>
      <c r="AA17" s="27">
        <v>62</v>
      </c>
      <c r="AB17" s="20">
        <v>46</v>
      </c>
      <c r="AC17" s="20">
        <f t="shared" si="6"/>
        <v>357</v>
      </c>
    </row>
    <row r="18" spans="1:29" ht="20" customHeight="1" x14ac:dyDescent="0.25">
      <c r="A18" s="73" t="s">
        <v>455</v>
      </c>
      <c r="B18" s="20">
        <v>70</v>
      </c>
      <c r="C18" s="20">
        <v>61</v>
      </c>
      <c r="D18" s="20">
        <v>65</v>
      </c>
      <c r="E18" s="20">
        <f t="shared" si="0"/>
        <v>102</v>
      </c>
      <c r="F18" s="20">
        <v>68</v>
      </c>
      <c r="G18" s="20">
        <v>34</v>
      </c>
      <c r="H18" s="20">
        <f t="shared" si="3"/>
        <v>298</v>
      </c>
      <c r="I18" s="20">
        <v>62</v>
      </c>
      <c r="J18" s="20">
        <v>77</v>
      </c>
      <c r="K18" s="20">
        <v>80</v>
      </c>
      <c r="L18" s="20">
        <v>108</v>
      </c>
      <c r="M18" s="20">
        <v>60</v>
      </c>
      <c r="N18" s="20">
        <v>48</v>
      </c>
      <c r="O18" s="20">
        <f t="shared" si="4"/>
        <v>327</v>
      </c>
      <c r="P18" s="20">
        <v>66</v>
      </c>
      <c r="Q18" s="20">
        <v>55</v>
      </c>
      <c r="R18" s="20">
        <v>88</v>
      </c>
      <c r="S18" s="20">
        <f t="shared" si="1"/>
        <v>64</v>
      </c>
      <c r="T18" s="20">
        <v>32</v>
      </c>
      <c r="U18" s="20">
        <v>32</v>
      </c>
      <c r="V18" s="20">
        <f t="shared" si="2"/>
        <v>273</v>
      </c>
      <c r="W18" s="20">
        <v>86</v>
      </c>
      <c r="X18" s="20">
        <v>69</v>
      </c>
      <c r="Y18" s="20">
        <v>77</v>
      </c>
      <c r="Z18" s="20">
        <f t="shared" si="5"/>
        <v>94</v>
      </c>
      <c r="AA18" s="20">
        <v>52</v>
      </c>
      <c r="AB18" s="20">
        <v>42</v>
      </c>
      <c r="AC18" s="20">
        <f t="shared" si="6"/>
        <v>326</v>
      </c>
    </row>
    <row r="19" spans="1:29" ht="20" customHeight="1" x14ac:dyDescent="0.25">
      <c r="A19" s="73" t="s">
        <v>456</v>
      </c>
      <c r="B19" s="20">
        <v>78</v>
      </c>
      <c r="C19" s="20">
        <v>94</v>
      </c>
      <c r="D19" s="20">
        <v>83</v>
      </c>
      <c r="E19" s="20">
        <f t="shared" si="0"/>
        <v>108</v>
      </c>
      <c r="F19" s="20">
        <v>60</v>
      </c>
      <c r="G19" s="20">
        <v>48</v>
      </c>
      <c r="H19" s="20">
        <f t="shared" si="3"/>
        <v>363</v>
      </c>
      <c r="I19" s="20">
        <v>76</v>
      </c>
      <c r="J19" s="20">
        <v>79</v>
      </c>
      <c r="K19" s="20">
        <v>76</v>
      </c>
      <c r="L19" s="20">
        <v>124</v>
      </c>
      <c r="M19" s="20">
        <v>72</v>
      </c>
      <c r="N19" s="20">
        <v>52</v>
      </c>
      <c r="O19" s="20">
        <f t="shared" si="4"/>
        <v>355</v>
      </c>
      <c r="P19" s="20">
        <v>80</v>
      </c>
      <c r="Q19" s="20">
        <v>70</v>
      </c>
      <c r="R19" s="20">
        <v>88</v>
      </c>
      <c r="S19" s="20">
        <f t="shared" si="1"/>
        <v>117</v>
      </c>
      <c r="T19" s="20">
        <v>74</v>
      </c>
      <c r="U19" s="20">
        <v>43</v>
      </c>
      <c r="V19" s="20">
        <f t="shared" si="2"/>
        <v>355</v>
      </c>
      <c r="W19" s="20">
        <v>82</v>
      </c>
      <c r="X19" s="20">
        <v>90</v>
      </c>
      <c r="Y19" s="20">
        <v>94</v>
      </c>
      <c r="Z19" s="20">
        <f t="shared" si="5"/>
        <v>114</v>
      </c>
      <c r="AA19" s="20">
        <v>54</v>
      </c>
      <c r="AB19" s="20">
        <v>60</v>
      </c>
      <c r="AC19" s="20">
        <f t="shared" si="6"/>
        <v>380</v>
      </c>
    </row>
    <row r="20" spans="1:29" ht="20" customHeight="1" x14ac:dyDescent="0.25">
      <c r="A20" s="73" t="s">
        <v>457</v>
      </c>
      <c r="B20" s="27"/>
      <c r="C20" s="27"/>
      <c r="D20" s="27"/>
      <c r="E20" s="27"/>
      <c r="F20" s="27"/>
      <c r="G20" s="27"/>
      <c r="H20" s="27"/>
      <c r="I20" s="20">
        <v>68</v>
      </c>
      <c r="J20" s="20">
        <v>84</v>
      </c>
      <c r="K20" s="20">
        <v>74</v>
      </c>
      <c r="L20" s="20">
        <v>140</v>
      </c>
      <c r="M20" s="20">
        <v>84</v>
      </c>
      <c r="N20" s="20">
        <v>56</v>
      </c>
      <c r="O20" s="20">
        <f t="shared" si="4"/>
        <v>366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 spans="1:29" ht="20" customHeight="1" x14ac:dyDescent="0.25">
      <c r="A21" s="73" t="s">
        <v>458</v>
      </c>
      <c r="B21" s="20">
        <v>62</v>
      </c>
      <c r="C21" s="20">
        <v>57</v>
      </c>
      <c r="D21" s="20">
        <v>44</v>
      </c>
      <c r="E21" s="20">
        <f t="shared" ref="E21:E38" si="7">F21+G21</f>
        <v>96</v>
      </c>
      <c r="F21" s="20">
        <v>56</v>
      </c>
      <c r="G21" s="20">
        <v>40</v>
      </c>
      <c r="H21" s="20">
        <f t="shared" si="3"/>
        <v>259</v>
      </c>
      <c r="I21" s="20">
        <v>56</v>
      </c>
      <c r="J21" s="20">
        <v>63</v>
      </c>
      <c r="K21" s="20">
        <v>62</v>
      </c>
      <c r="L21" s="20">
        <v>112</v>
      </c>
      <c r="M21" s="20">
        <v>68</v>
      </c>
      <c r="N21" s="20">
        <v>44</v>
      </c>
      <c r="O21" s="20">
        <f t="shared" si="4"/>
        <v>293</v>
      </c>
      <c r="P21" s="27"/>
      <c r="Q21" s="27"/>
      <c r="R21" s="27"/>
      <c r="S21" s="27"/>
      <c r="T21" s="27"/>
      <c r="U21" s="27"/>
      <c r="V21" s="27"/>
      <c r="W21" s="27">
        <v>76</v>
      </c>
      <c r="X21" s="27">
        <v>73</v>
      </c>
      <c r="Y21" s="27">
        <v>63</v>
      </c>
      <c r="Z21" s="20">
        <f t="shared" si="5"/>
        <v>108</v>
      </c>
      <c r="AA21" s="27">
        <v>58</v>
      </c>
      <c r="AB21" s="27">
        <v>50</v>
      </c>
      <c r="AC21" s="20">
        <f t="shared" si="6"/>
        <v>320</v>
      </c>
    </row>
    <row r="22" spans="1:29" ht="20" customHeight="1" x14ac:dyDescent="0.25">
      <c r="A22" s="73" t="s">
        <v>459</v>
      </c>
      <c r="B22" s="20">
        <v>32</v>
      </c>
      <c r="C22" s="20">
        <v>61</v>
      </c>
      <c r="D22" s="20">
        <v>61</v>
      </c>
      <c r="E22" s="20">
        <f t="shared" si="7"/>
        <v>100</v>
      </c>
      <c r="F22" s="20">
        <v>64</v>
      </c>
      <c r="G22" s="20">
        <v>36</v>
      </c>
      <c r="H22" s="20">
        <f t="shared" si="3"/>
        <v>254</v>
      </c>
      <c r="I22" s="20">
        <v>76</v>
      </c>
      <c r="J22" s="20">
        <v>72</v>
      </c>
      <c r="K22" s="20">
        <v>80</v>
      </c>
      <c r="L22" s="20">
        <v>116</v>
      </c>
      <c r="M22" s="20">
        <v>72</v>
      </c>
      <c r="N22" s="20">
        <v>44</v>
      </c>
      <c r="O22" s="20">
        <f t="shared" si="4"/>
        <v>344</v>
      </c>
      <c r="P22" s="20">
        <v>60</v>
      </c>
      <c r="Q22" s="20">
        <v>63</v>
      </c>
      <c r="R22" s="20">
        <v>93</v>
      </c>
      <c r="S22" s="20">
        <f t="shared" si="1"/>
        <v>104</v>
      </c>
      <c r="T22" s="20">
        <v>56</v>
      </c>
      <c r="U22" s="20">
        <v>48</v>
      </c>
      <c r="V22" s="20">
        <f t="shared" si="2"/>
        <v>320</v>
      </c>
      <c r="W22" s="20">
        <v>80</v>
      </c>
      <c r="X22" s="20">
        <v>68</v>
      </c>
      <c r="Y22" s="20">
        <v>83</v>
      </c>
      <c r="Z22" s="20">
        <f t="shared" si="5"/>
        <v>112</v>
      </c>
      <c r="AA22" s="20">
        <v>70</v>
      </c>
      <c r="AB22" s="20">
        <v>42</v>
      </c>
      <c r="AC22" s="20">
        <f t="shared" si="6"/>
        <v>343</v>
      </c>
    </row>
    <row r="23" spans="1:29" ht="20" customHeight="1" x14ac:dyDescent="0.25">
      <c r="A23" s="73" t="s">
        <v>460</v>
      </c>
      <c r="B23" s="20">
        <v>68</v>
      </c>
      <c r="C23" s="20">
        <v>75</v>
      </c>
      <c r="D23" s="20">
        <v>79</v>
      </c>
      <c r="E23" s="20">
        <f t="shared" si="7"/>
        <v>84</v>
      </c>
      <c r="F23" s="20">
        <v>38</v>
      </c>
      <c r="G23" s="20">
        <v>46</v>
      </c>
      <c r="H23" s="20">
        <f t="shared" si="3"/>
        <v>306</v>
      </c>
      <c r="I23" s="20">
        <v>60</v>
      </c>
      <c r="J23" s="20">
        <v>71</v>
      </c>
      <c r="K23" s="20">
        <v>63</v>
      </c>
      <c r="L23" s="20">
        <v>120</v>
      </c>
      <c r="M23" s="20">
        <v>74</v>
      </c>
      <c r="N23" s="20">
        <v>46</v>
      </c>
      <c r="O23" s="20">
        <f t="shared" si="4"/>
        <v>314</v>
      </c>
      <c r="P23" s="27"/>
      <c r="Q23" s="27"/>
      <c r="R23" s="27"/>
      <c r="S23" s="27"/>
      <c r="T23" s="27"/>
      <c r="U23" s="27"/>
      <c r="V23" s="27"/>
      <c r="W23" s="27">
        <v>78</v>
      </c>
      <c r="X23" s="27">
        <v>91</v>
      </c>
      <c r="Y23" s="27">
        <v>74</v>
      </c>
      <c r="Z23" s="20">
        <f t="shared" si="5"/>
        <v>124</v>
      </c>
      <c r="AA23" s="27">
        <v>68</v>
      </c>
      <c r="AB23" s="27">
        <v>56</v>
      </c>
      <c r="AC23" s="20">
        <f t="shared" si="6"/>
        <v>367</v>
      </c>
    </row>
    <row r="24" spans="1:29" ht="20" customHeight="1" x14ac:dyDescent="0.25">
      <c r="A24" s="73" t="s">
        <v>461</v>
      </c>
      <c r="B24" s="20">
        <v>64</v>
      </c>
      <c r="C24" s="20">
        <v>64</v>
      </c>
      <c r="D24" s="20">
        <v>55</v>
      </c>
      <c r="E24" s="20">
        <f t="shared" si="7"/>
        <v>122</v>
      </c>
      <c r="F24" s="20">
        <v>76</v>
      </c>
      <c r="G24" s="20">
        <v>46</v>
      </c>
      <c r="H24" s="20">
        <f t="shared" si="3"/>
        <v>305</v>
      </c>
      <c r="I24" s="20">
        <v>56</v>
      </c>
      <c r="J24" s="20">
        <v>78</v>
      </c>
      <c r="K24" s="20">
        <v>64</v>
      </c>
      <c r="L24" s="20">
        <v>128</v>
      </c>
      <c r="M24" s="20">
        <v>74</v>
      </c>
      <c r="N24" s="20">
        <v>54</v>
      </c>
      <c r="O24" s="20">
        <f t="shared" si="4"/>
        <v>326</v>
      </c>
      <c r="P24" s="20">
        <v>62</v>
      </c>
      <c r="Q24" s="20">
        <v>70</v>
      </c>
      <c r="R24" s="20">
        <v>94</v>
      </c>
      <c r="S24" s="20">
        <f t="shared" si="1"/>
        <v>114</v>
      </c>
      <c r="T24" s="20">
        <v>64</v>
      </c>
      <c r="U24" s="20">
        <v>50</v>
      </c>
      <c r="V24" s="20">
        <f t="shared" si="2"/>
        <v>340</v>
      </c>
      <c r="W24" s="20">
        <v>80</v>
      </c>
      <c r="X24" s="20">
        <v>59</v>
      </c>
      <c r="Y24" s="20">
        <v>89</v>
      </c>
      <c r="Z24" s="20">
        <f t="shared" si="5"/>
        <v>126</v>
      </c>
      <c r="AA24" s="20">
        <v>76</v>
      </c>
      <c r="AB24" s="20">
        <v>50</v>
      </c>
      <c r="AC24" s="20">
        <f t="shared" si="6"/>
        <v>354</v>
      </c>
    </row>
    <row r="25" spans="1:29" ht="20" customHeight="1" x14ac:dyDescent="0.25">
      <c r="A25" s="73" t="s">
        <v>462</v>
      </c>
      <c r="B25" s="20">
        <v>82</v>
      </c>
      <c r="C25" s="20">
        <v>66</v>
      </c>
      <c r="D25" s="20">
        <v>68</v>
      </c>
      <c r="E25" s="20">
        <f t="shared" si="7"/>
        <v>100</v>
      </c>
      <c r="F25" s="20">
        <v>54</v>
      </c>
      <c r="G25" s="20">
        <v>46</v>
      </c>
      <c r="H25" s="20">
        <f t="shared" si="3"/>
        <v>316</v>
      </c>
      <c r="I25" s="20">
        <v>78</v>
      </c>
      <c r="J25" s="20">
        <v>75</v>
      </c>
      <c r="K25" s="20">
        <v>79</v>
      </c>
      <c r="L25" s="20">
        <v>136</v>
      </c>
      <c r="M25" s="20">
        <v>78</v>
      </c>
      <c r="N25" s="20">
        <v>58</v>
      </c>
      <c r="O25" s="20">
        <f t="shared" si="4"/>
        <v>368</v>
      </c>
      <c r="P25" s="20">
        <v>98</v>
      </c>
      <c r="Q25" s="20">
        <v>54</v>
      </c>
      <c r="R25" s="20">
        <v>97</v>
      </c>
      <c r="S25" s="20">
        <f t="shared" si="1"/>
        <v>115</v>
      </c>
      <c r="T25" s="20">
        <v>68</v>
      </c>
      <c r="U25" s="20">
        <v>47</v>
      </c>
      <c r="V25" s="20">
        <f t="shared" si="2"/>
        <v>364</v>
      </c>
      <c r="W25" s="20">
        <v>86</v>
      </c>
      <c r="X25" s="20">
        <v>87</v>
      </c>
      <c r="Y25" s="20">
        <v>94</v>
      </c>
      <c r="Z25" s="20">
        <f t="shared" si="5"/>
        <v>117</v>
      </c>
      <c r="AA25" s="20">
        <v>64</v>
      </c>
      <c r="AB25" s="20">
        <v>53</v>
      </c>
      <c r="AC25" s="20">
        <f t="shared" si="6"/>
        <v>384</v>
      </c>
    </row>
    <row r="26" spans="1:29" ht="20" customHeight="1" x14ac:dyDescent="0.25">
      <c r="A26" s="73" t="s">
        <v>463</v>
      </c>
      <c r="B26" s="20">
        <v>54</v>
      </c>
      <c r="C26" s="20">
        <v>63</v>
      </c>
      <c r="D26" s="20">
        <v>66</v>
      </c>
      <c r="E26" s="20">
        <f t="shared" si="7"/>
        <v>92</v>
      </c>
      <c r="F26" s="20">
        <v>58</v>
      </c>
      <c r="G26" s="20">
        <v>34</v>
      </c>
      <c r="H26" s="20">
        <f t="shared" si="3"/>
        <v>275</v>
      </c>
      <c r="I26" s="27"/>
      <c r="J26" s="27"/>
      <c r="K26" s="27"/>
      <c r="L26" s="27"/>
      <c r="M26" s="27"/>
      <c r="N26" s="20"/>
      <c r="O26" s="20"/>
      <c r="P26" s="27">
        <v>66</v>
      </c>
      <c r="Q26" s="27">
        <v>85</v>
      </c>
      <c r="R26" s="27">
        <v>97</v>
      </c>
      <c r="S26" s="20">
        <f t="shared" si="1"/>
        <v>102</v>
      </c>
      <c r="T26" s="27">
        <v>46</v>
      </c>
      <c r="U26" s="20">
        <v>56</v>
      </c>
      <c r="V26" s="20">
        <f t="shared" si="2"/>
        <v>350</v>
      </c>
      <c r="W26" s="27"/>
      <c r="X26" s="27"/>
      <c r="Y26" s="27"/>
      <c r="Z26" s="27"/>
      <c r="AA26" s="27"/>
      <c r="AB26" s="27"/>
      <c r="AC26" s="27"/>
    </row>
    <row r="27" spans="1:29" ht="20" customHeight="1" x14ac:dyDescent="0.25">
      <c r="A27" s="73" t="s">
        <v>464</v>
      </c>
      <c r="B27" s="20">
        <v>66</v>
      </c>
      <c r="C27" s="20">
        <v>81</v>
      </c>
      <c r="D27" s="20">
        <v>51</v>
      </c>
      <c r="E27" s="20">
        <f t="shared" si="7"/>
        <v>114</v>
      </c>
      <c r="F27" s="20">
        <v>60</v>
      </c>
      <c r="G27" s="20">
        <v>54</v>
      </c>
      <c r="H27" s="20">
        <f t="shared" si="3"/>
        <v>312</v>
      </c>
      <c r="I27" s="20">
        <v>54</v>
      </c>
      <c r="J27" s="20">
        <v>90</v>
      </c>
      <c r="K27" s="20">
        <v>81</v>
      </c>
      <c r="L27" s="20">
        <v>114</v>
      </c>
      <c r="M27" s="20">
        <v>64</v>
      </c>
      <c r="N27" s="20">
        <v>50</v>
      </c>
      <c r="O27" s="20">
        <f t="shared" si="4"/>
        <v>339</v>
      </c>
      <c r="P27" s="20">
        <v>84</v>
      </c>
      <c r="Q27" s="20">
        <v>70</v>
      </c>
      <c r="R27" s="20">
        <v>92</v>
      </c>
      <c r="S27" s="20">
        <f t="shared" si="1"/>
        <v>100</v>
      </c>
      <c r="T27" s="20">
        <v>44</v>
      </c>
      <c r="U27" s="20">
        <v>56</v>
      </c>
      <c r="V27" s="20">
        <f t="shared" si="2"/>
        <v>346</v>
      </c>
      <c r="W27" s="20">
        <v>90</v>
      </c>
      <c r="X27" s="20">
        <v>79</v>
      </c>
      <c r="Y27" s="20">
        <v>68</v>
      </c>
      <c r="Z27" s="20">
        <f t="shared" si="5"/>
        <v>122</v>
      </c>
      <c r="AA27" s="20">
        <v>66</v>
      </c>
      <c r="AB27" s="20">
        <v>56</v>
      </c>
      <c r="AC27" s="20">
        <f t="shared" si="6"/>
        <v>359</v>
      </c>
    </row>
    <row r="28" spans="1:29" ht="20" customHeight="1" x14ac:dyDescent="0.25">
      <c r="A28" s="73" t="s">
        <v>465</v>
      </c>
      <c r="B28" s="20">
        <v>94</v>
      </c>
      <c r="C28" s="20">
        <v>92</v>
      </c>
      <c r="D28" s="20">
        <v>85</v>
      </c>
      <c r="E28" s="20">
        <f t="shared" si="7"/>
        <v>136</v>
      </c>
      <c r="F28" s="20">
        <v>78</v>
      </c>
      <c r="G28" s="20">
        <v>58</v>
      </c>
      <c r="H28" s="20">
        <f t="shared" si="3"/>
        <v>407</v>
      </c>
      <c r="I28" s="20">
        <v>84</v>
      </c>
      <c r="J28" s="20">
        <v>96</v>
      </c>
      <c r="K28" s="20">
        <v>77</v>
      </c>
      <c r="L28" s="20">
        <v>130</v>
      </c>
      <c r="M28" s="20">
        <v>76</v>
      </c>
      <c r="N28" s="20">
        <v>54</v>
      </c>
      <c r="O28" s="20">
        <f t="shared" si="4"/>
        <v>387</v>
      </c>
      <c r="P28" s="20">
        <v>92</v>
      </c>
      <c r="Q28" s="20">
        <v>97</v>
      </c>
      <c r="R28" s="20">
        <v>88</v>
      </c>
      <c r="S28" s="20">
        <f t="shared" si="1"/>
        <v>115</v>
      </c>
      <c r="T28" s="20">
        <v>58</v>
      </c>
      <c r="U28" s="20">
        <v>57</v>
      </c>
      <c r="V28" s="20">
        <f t="shared" si="2"/>
        <v>392</v>
      </c>
      <c r="W28" s="20">
        <v>88</v>
      </c>
      <c r="X28" s="20">
        <v>94</v>
      </c>
      <c r="Y28" s="20">
        <v>91</v>
      </c>
      <c r="Z28" s="20">
        <f t="shared" si="5"/>
        <v>120</v>
      </c>
      <c r="AA28" s="20">
        <v>68</v>
      </c>
      <c r="AB28" s="20">
        <v>52</v>
      </c>
      <c r="AC28" s="20">
        <f t="shared" si="6"/>
        <v>393</v>
      </c>
    </row>
    <row r="29" spans="1:29" ht="20" customHeight="1" x14ac:dyDescent="0.25">
      <c r="A29" s="73" t="s">
        <v>466</v>
      </c>
      <c r="B29" s="20">
        <v>88</v>
      </c>
      <c r="C29" s="20">
        <v>52</v>
      </c>
      <c r="D29" s="20">
        <v>79</v>
      </c>
      <c r="E29" s="20">
        <f t="shared" si="7"/>
        <v>126</v>
      </c>
      <c r="F29" s="20">
        <v>68</v>
      </c>
      <c r="G29" s="20">
        <v>58</v>
      </c>
      <c r="H29" s="20">
        <f t="shared" si="3"/>
        <v>345</v>
      </c>
      <c r="I29" s="20">
        <v>84</v>
      </c>
      <c r="J29" s="20">
        <v>63</v>
      </c>
      <c r="K29" s="20">
        <v>68</v>
      </c>
      <c r="L29" s="20">
        <v>136</v>
      </c>
      <c r="M29" s="20">
        <v>76</v>
      </c>
      <c r="N29" s="20">
        <v>60</v>
      </c>
      <c r="O29" s="20">
        <f t="shared" si="4"/>
        <v>351</v>
      </c>
      <c r="P29" s="20">
        <v>82</v>
      </c>
      <c r="Q29" s="20">
        <v>50</v>
      </c>
      <c r="R29" s="20">
        <v>74</v>
      </c>
      <c r="S29" s="20">
        <f t="shared" si="1"/>
        <v>101</v>
      </c>
      <c r="T29" s="20">
        <v>44</v>
      </c>
      <c r="U29" s="20">
        <v>57</v>
      </c>
      <c r="V29" s="20">
        <f t="shared" si="2"/>
        <v>307</v>
      </c>
      <c r="W29" s="20">
        <v>92</v>
      </c>
      <c r="X29" s="20">
        <v>53</v>
      </c>
      <c r="Y29" s="20">
        <v>92</v>
      </c>
      <c r="Z29" s="20">
        <f t="shared" si="5"/>
        <v>112</v>
      </c>
      <c r="AA29" s="20">
        <v>60</v>
      </c>
      <c r="AB29" s="20">
        <v>52</v>
      </c>
      <c r="AC29" s="20">
        <f t="shared" si="6"/>
        <v>349</v>
      </c>
    </row>
    <row r="30" spans="1:29" ht="20" customHeight="1" x14ac:dyDescent="0.25">
      <c r="A30" s="73" t="s">
        <v>467</v>
      </c>
      <c r="B30" s="20">
        <v>86</v>
      </c>
      <c r="C30" s="20">
        <v>94</v>
      </c>
      <c r="D30" s="20">
        <v>85</v>
      </c>
      <c r="E30" s="20">
        <f t="shared" si="7"/>
        <v>116</v>
      </c>
      <c r="F30" s="20">
        <v>56</v>
      </c>
      <c r="G30" s="20">
        <v>60</v>
      </c>
      <c r="H30" s="20">
        <f t="shared" si="3"/>
        <v>381</v>
      </c>
      <c r="I30" s="27"/>
      <c r="J30" s="27"/>
      <c r="K30" s="27"/>
      <c r="L30" s="27"/>
      <c r="M30" s="27"/>
      <c r="N30" s="20"/>
      <c r="O30" s="20"/>
      <c r="P30" s="27"/>
      <c r="Q30" s="27"/>
      <c r="R30" s="27"/>
      <c r="S30" s="27"/>
      <c r="T30" s="27"/>
      <c r="U30" s="27"/>
      <c r="V30" s="27"/>
      <c r="W30" s="27">
        <v>88</v>
      </c>
      <c r="X30" s="27">
        <v>87</v>
      </c>
      <c r="Y30" s="27">
        <v>94</v>
      </c>
      <c r="Z30" s="20">
        <f t="shared" si="5"/>
        <v>102</v>
      </c>
      <c r="AA30" s="27">
        <v>42</v>
      </c>
      <c r="AB30" s="27">
        <v>60</v>
      </c>
      <c r="AC30" s="20">
        <f t="shared" si="6"/>
        <v>371</v>
      </c>
    </row>
    <row r="31" spans="1:29" ht="20" customHeight="1" x14ac:dyDescent="0.25">
      <c r="A31" s="73" t="s">
        <v>468</v>
      </c>
      <c r="B31" s="20">
        <v>78</v>
      </c>
      <c r="C31" s="20">
        <v>92</v>
      </c>
      <c r="D31" s="20">
        <v>68</v>
      </c>
      <c r="E31" s="20">
        <f t="shared" si="7"/>
        <v>110</v>
      </c>
      <c r="F31" s="20">
        <v>60</v>
      </c>
      <c r="G31" s="20">
        <v>50</v>
      </c>
      <c r="H31" s="20">
        <f t="shared" si="3"/>
        <v>348</v>
      </c>
      <c r="I31" s="20">
        <v>58</v>
      </c>
      <c r="J31" s="20">
        <v>90</v>
      </c>
      <c r="K31" s="20">
        <v>78</v>
      </c>
      <c r="L31" s="20">
        <v>102</v>
      </c>
      <c r="M31" s="20">
        <v>54</v>
      </c>
      <c r="N31" s="20">
        <v>48</v>
      </c>
      <c r="O31" s="20">
        <f t="shared" si="4"/>
        <v>328</v>
      </c>
      <c r="P31" s="27"/>
      <c r="Q31" s="27"/>
      <c r="R31" s="27"/>
      <c r="S31" s="27"/>
      <c r="T31" s="27"/>
      <c r="U31" s="27"/>
      <c r="V31" s="27"/>
      <c r="W31" s="27">
        <v>80</v>
      </c>
      <c r="X31" s="27">
        <v>100</v>
      </c>
      <c r="Y31" s="27">
        <v>89</v>
      </c>
      <c r="Z31" s="20">
        <f t="shared" si="5"/>
        <v>120</v>
      </c>
      <c r="AA31" s="27">
        <v>64</v>
      </c>
      <c r="AB31" s="27">
        <v>56</v>
      </c>
      <c r="AC31" s="20">
        <f t="shared" si="6"/>
        <v>389</v>
      </c>
    </row>
    <row r="32" spans="1:29" ht="20" customHeight="1" x14ac:dyDescent="0.25">
      <c r="A32" s="73" t="s">
        <v>469</v>
      </c>
      <c r="B32" s="20">
        <v>88</v>
      </c>
      <c r="C32" s="20">
        <v>92</v>
      </c>
      <c r="D32" s="20">
        <v>89</v>
      </c>
      <c r="E32" s="20">
        <f t="shared" si="7"/>
        <v>144</v>
      </c>
      <c r="F32" s="20">
        <v>84</v>
      </c>
      <c r="G32" s="20">
        <v>60</v>
      </c>
      <c r="H32" s="20">
        <f t="shared" si="3"/>
        <v>413</v>
      </c>
      <c r="I32" s="27"/>
      <c r="J32" s="27"/>
      <c r="K32" s="27"/>
      <c r="L32" s="27"/>
      <c r="M32" s="27"/>
      <c r="N32" s="20"/>
      <c r="O32" s="20"/>
      <c r="P32" s="27">
        <v>96</v>
      </c>
      <c r="Q32" s="27">
        <v>94</v>
      </c>
      <c r="R32" s="27">
        <v>94</v>
      </c>
      <c r="S32" s="20">
        <f>U32+T32</f>
        <v>143</v>
      </c>
      <c r="T32" s="27">
        <v>88</v>
      </c>
      <c r="U32" s="20">
        <v>55</v>
      </c>
      <c r="V32" s="20">
        <f>S32+R32+Q32+P32</f>
        <v>427</v>
      </c>
      <c r="W32" s="27">
        <v>100</v>
      </c>
      <c r="X32" s="27">
        <v>93</v>
      </c>
      <c r="Y32" s="27">
        <v>94</v>
      </c>
      <c r="Z32" s="20">
        <f t="shared" si="5"/>
        <v>124</v>
      </c>
      <c r="AA32" s="27">
        <v>68</v>
      </c>
      <c r="AB32" s="20">
        <v>56</v>
      </c>
      <c r="AC32" s="20">
        <f t="shared" si="6"/>
        <v>411</v>
      </c>
    </row>
    <row r="33" spans="1:29" ht="20" customHeight="1" x14ac:dyDescent="0.25">
      <c r="A33" s="73" t="s">
        <v>470</v>
      </c>
      <c r="B33" s="20">
        <v>54</v>
      </c>
      <c r="C33" s="20">
        <v>63</v>
      </c>
      <c r="D33" s="20">
        <v>67</v>
      </c>
      <c r="E33" s="20">
        <f t="shared" si="7"/>
        <v>92</v>
      </c>
      <c r="F33" s="20">
        <v>52</v>
      </c>
      <c r="G33" s="20">
        <v>40</v>
      </c>
      <c r="H33" s="20">
        <f t="shared" si="3"/>
        <v>276</v>
      </c>
      <c r="I33" s="27"/>
      <c r="J33" s="27"/>
      <c r="K33" s="27"/>
      <c r="L33" s="27"/>
      <c r="M33" s="27"/>
      <c r="N33" s="20"/>
      <c r="O33" s="20"/>
      <c r="P33" s="27">
        <v>80</v>
      </c>
      <c r="Q33" s="27">
        <v>88</v>
      </c>
      <c r="R33" s="27">
        <v>92</v>
      </c>
      <c r="S33" s="27">
        <v>0</v>
      </c>
      <c r="T33" s="27">
        <v>0</v>
      </c>
      <c r="U33" s="27">
        <v>0</v>
      </c>
      <c r="V33" s="20">
        <f>S33+R33+Q33+P33</f>
        <v>260</v>
      </c>
      <c r="W33" s="27">
        <v>0</v>
      </c>
      <c r="X33" s="27">
        <v>77</v>
      </c>
      <c r="Y33" s="27">
        <v>86</v>
      </c>
      <c r="Z33" s="27">
        <v>0</v>
      </c>
      <c r="AA33" s="27">
        <v>0</v>
      </c>
      <c r="AB33" s="27">
        <v>0</v>
      </c>
      <c r="AC33" s="27">
        <v>163</v>
      </c>
    </row>
    <row r="34" spans="1:29" ht="20" customHeight="1" x14ac:dyDescent="0.25">
      <c r="A34" s="73" t="s">
        <v>471</v>
      </c>
      <c r="B34" s="20">
        <v>74</v>
      </c>
      <c r="C34" s="20">
        <v>95</v>
      </c>
      <c r="D34" s="20">
        <v>89</v>
      </c>
      <c r="E34" s="20">
        <f t="shared" si="7"/>
        <v>132</v>
      </c>
      <c r="F34" s="20">
        <v>76</v>
      </c>
      <c r="G34" s="20">
        <v>56</v>
      </c>
      <c r="H34" s="20">
        <f t="shared" si="3"/>
        <v>390</v>
      </c>
      <c r="I34" s="27"/>
      <c r="J34" s="27"/>
      <c r="K34" s="27"/>
      <c r="L34" s="27"/>
      <c r="M34" s="27"/>
      <c r="N34" s="20"/>
      <c r="O34" s="20"/>
      <c r="P34" s="27">
        <v>94</v>
      </c>
      <c r="Q34" s="27">
        <v>97</v>
      </c>
      <c r="R34" s="27">
        <v>92</v>
      </c>
      <c r="S34" s="20">
        <f>U34+T34</f>
        <v>128</v>
      </c>
      <c r="T34" s="27">
        <v>68</v>
      </c>
      <c r="U34" s="20">
        <v>60</v>
      </c>
      <c r="V34" s="20">
        <f>S34+R34+Q34+P34</f>
        <v>411</v>
      </c>
      <c r="W34" s="27">
        <v>94</v>
      </c>
      <c r="X34" s="27">
        <v>96</v>
      </c>
      <c r="Y34" s="27">
        <v>94</v>
      </c>
      <c r="Z34" s="20">
        <f t="shared" si="5"/>
        <v>126</v>
      </c>
      <c r="AA34" s="27">
        <v>66</v>
      </c>
      <c r="AB34" s="20">
        <v>60</v>
      </c>
      <c r="AC34" s="20">
        <f t="shared" si="6"/>
        <v>410</v>
      </c>
    </row>
    <row r="35" spans="1:29" ht="20" customHeight="1" x14ac:dyDescent="0.25">
      <c r="A35" s="73" t="s">
        <v>472</v>
      </c>
      <c r="B35" s="20">
        <v>88</v>
      </c>
      <c r="C35" s="20">
        <v>90</v>
      </c>
      <c r="D35" s="20">
        <v>69</v>
      </c>
      <c r="E35" s="20">
        <f t="shared" si="7"/>
        <v>126</v>
      </c>
      <c r="F35" s="20">
        <v>66</v>
      </c>
      <c r="G35" s="20">
        <v>60</v>
      </c>
      <c r="H35" s="20">
        <f t="shared" si="3"/>
        <v>373</v>
      </c>
      <c r="I35" s="20">
        <v>72</v>
      </c>
      <c r="J35" s="20">
        <v>96</v>
      </c>
      <c r="K35" s="20">
        <v>91</v>
      </c>
      <c r="L35" s="20">
        <v>136</v>
      </c>
      <c r="M35" s="20">
        <v>82</v>
      </c>
      <c r="N35" s="20">
        <v>54</v>
      </c>
      <c r="O35" s="20">
        <f t="shared" si="4"/>
        <v>395</v>
      </c>
      <c r="P35" s="20">
        <v>86</v>
      </c>
      <c r="Q35" s="20">
        <v>92</v>
      </c>
      <c r="R35" s="20">
        <v>89</v>
      </c>
      <c r="S35" s="20">
        <f>U35+T35</f>
        <v>106</v>
      </c>
      <c r="T35" s="20">
        <v>66</v>
      </c>
      <c r="U35" s="20">
        <v>40</v>
      </c>
      <c r="V35" s="20">
        <f>S35+R35+Q35+P35</f>
        <v>373</v>
      </c>
      <c r="W35" s="20">
        <v>80</v>
      </c>
      <c r="X35" s="20">
        <v>96</v>
      </c>
      <c r="Y35" s="20">
        <v>91</v>
      </c>
      <c r="Z35" s="20">
        <f t="shared" si="5"/>
        <v>124</v>
      </c>
      <c r="AA35" s="20">
        <v>70</v>
      </c>
      <c r="AB35" s="20">
        <v>54</v>
      </c>
      <c r="AC35" s="20">
        <f t="shared" si="6"/>
        <v>391</v>
      </c>
    </row>
    <row r="36" spans="1:29" ht="20" customHeight="1" x14ac:dyDescent="0.25">
      <c r="A36" s="73" t="s">
        <v>473</v>
      </c>
      <c r="B36" s="20">
        <v>38</v>
      </c>
      <c r="C36" s="20">
        <v>63</v>
      </c>
      <c r="D36" s="20">
        <v>55</v>
      </c>
      <c r="E36" s="20">
        <f t="shared" si="7"/>
        <v>114</v>
      </c>
      <c r="F36" s="20">
        <v>72</v>
      </c>
      <c r="G36" s="20">
        <v>42</v>
      </c>
      <c r="H36" s="20">
        <f t="shared" si="3"/>
        <v>270</v>
      </c>
      <c r="I36" s="20">
        <v>54</v>
      </c>
      <c r="J36" s="20">
        <v>72</v>
      </c>
      <c r="K36" s="20">
        <v>58</v>
      </c>
      <c r="L36" s="20">
        <v>56</v>
      </c>
      <c r="M36" s="20">
        <v>26</v>
      </c>
      <c r="N36" s="20">
        <v>30</v>
      </c>
      <c r="O36" s="20">
        <f t="shared" si="4"/>
        <v>240</v>
      </c>
      <c r="P36" s="20">
        <v>64</v>
      </c>
      <c r="Q36" s="20">
        <v>84</v>
      </c>
      <c r="R36" s="20">
        <v>97</v>
      </c>
      <c r="S36" s="20">
        <f>U36+T36</f>
        <v>101</v>
      </c>
      <c r="T36" s="20">
        <v>50</v>
      </c>
      <c r="U36" s="20">
        <v>51</v>
      </c>
      <c r="V36" s="20">
        <f>S36+R36+Q36+P36</f>
        <v>346</v>
      </c>
      <c r="W36" s="20">
        <v>74</v>
      </c>
      <c r="X36" s="20">
        <v>63</v>
      </c>
      <c r="Y36" s="20">
        <v>16</v>
      </c>
      <c r="Z36" s="20">
        <f t="shared" si="5"/>
        <v>117</v>
      </c>
      <c r="AA36" s="20">
        <v>70</v>
      </c>
      <c r="AB36" s="20">
        <v>47</v>
      </c>
      <c r="AC36" s="20">
        <f t="shared" si="6"/>
        <v>270</v>
      </c>
    </row>
    <row r="37" spans="1:29" ht="20" customHeight="1" x14ac:dyDescent="0.25">
      <c r="A37" s="73" t="s">
        <v>474</v>
      </c>
      <c r="B37" s="20">
        <v>70</v>
      </c>
      <c r="C37" s="20">
        <v>35</v>
      </c>
      <c r="D37" s="20">
        <v>67</v>
      </c>
      <c r="E37" s="20">
        <f t="shared" si="7"/>
        <v>134</v>
      </c>
      <c r="F37" s="20">
        <v>74</v>
      </c>
      <c r="G37" s="20">
        <v>60</v>
      </c>
      <c r="H37" s="20">
        <f t="shared" si="3"/>
        <v>306</v>
      </c>
      <c r="I37" s="27"/>
      <c r="J37" s="27"/>
      <c r="K37" s="27"/>
      <c r="L37" s="27"/>
      <c r="M37" s="27"/>
      <c r="N37" s="20"/>
      <c r="O37" s="20"/>
      <c r="P37" s="27"/>
      <c r="Q37" s="27"/>
      <c r="R37" s="27"/>
      <c r="S37" s="27"/>
      <c r="T37" s="27"/>
      <c r="U37" s="27"/>
      <c r="V37" s="20"/>
      <c r="W37" s="27"/>
      <c r="X37" s="27"/>
      <c r="Y37" s="27"/>
      <c r="Z37" s="27"/>
      <c r="AA37" s="27"/>
      <c r="AB37" s="27"/>
      <c r="AC37" s="27"/>
    </row>
    <row r="38" spans="1:29" ht="20" customHeight="1" x14ac:dyDescent="0.25">
      <c r="A38" s="73" t="s">
        <v>475</v>
      </c>
      <c r="B38" s="20">
        <v>86</v>
      </c>
      <c r="C38" s="20">
        <v>63</v>
      </c>
      <c r="D38" s="20">
        <v>64</v>
      </c>
      <c r="E38" s="20">
        <f t="shared" si="7"/>
        <v>84</v>
      </c>
      <c r="F38" s="20">
        <v>42</v>
      </c>
      <c r="G38" s="20">
        <v>42</v>
      </c>
      <c r="H38" s="20">
        <f t="shared" si="3"/>
        <v>297</v>
      </c>
      <c r="I38" s="27"/>
      <c r="J38" s="27"/>
      <c r="K38" s="27"/>
      <c r="L38" s="27"/>
      <c r="M38" s="27"/>
      <c r="N38" s="20"/>
      <c r="O38" s="20"/>
      <c r="P38" s="27"/>
      <c r="Q38" s="27"/>
      <c r="R38" s="27"/>
      <c r="S38" s="27"/>
      <c r="T38" s="27"/>
      <c r="U38" s="27"/>
      <c r="V38" s="20"/>
      <c r="W38" s="27">
        <v>76</v>
      </c>
      <c r="X38" s="27">
        <v>31</v>
      </c>
      <c r="Y38" s="27">
        <v>46</v>
      </c>
      <c r="Z38" s="20">
        <f t="shared" si="5"/>
        <v>73</v>
      </c>
      <c r="AA38" s="27">
        <v>40</v>
      </c>
      <c r="AB38" s="27">
        <v>33</v>
      </c>
      <c r="AC38" s="20">
        <f t="shared" si="6"/>
        <v>226</v>
      </c>
    </row>
    <row r="39" spans="1:29" ht="20" customHeight="1" x14ac:dyDescent="0.25">
      <c r="A39" s="73" t="s">
        <v>26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0"/>
      <c r="O39" s="20"/>
      <c r="P39" s="27">
        <v>82</v>
      </c>
      <c r="Q39" s="27">
        <v>85</v>
      </c>
      <c r="R39" s="27">
        <v>83</v>
      </c>
      <c r="S39" s="20">
        <f t="shared" ref="S39:S48" si="8">U39+T39</f>
        <v>63</v>
      </c>
      <c r="T39" s="27">
        <v>32</v>
      </c>
      <c r="U39" s="20">
        <v>31</v>
      </c>
      <c r="V39" s="20">
        <f t="shared" ref="V39:V48" si="9">S39+R39+Q39+P39</f>
        <v>313</v>
      </c>
      <c r="W39" s="27">
        <v>0</v>
      </c>
      <c r="X39" s="27">
        <v>35</v>
      </c>
      <c r="Y39" s="27">
        <v>74</v>
      </c>
      <c r="Z39" s="27">
        <v>0</v>
      </c>
      <c r="AA39" s="27">
        <v>0</v>
      </c>
      <c r="AB39" s="27">
        <v>0</v>
      </c>
      <c r="AC39" s="27">
        <v>109</v>
      </c>
    </row>
    <row r="40" spans="1:29" ht="20" customHeight="1" x14ac:dyDescent="0.25">
      <c r="A40" s="73" t="s">
        <v>476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0"/>
      <c r="O40" s="20"/>
      <c r="P40" s="27"/>
      <c r="Q40" s="27"/>
      <c r="R40" s="27"/>
      <c r="S40" s="27"/>
      <c r="T40" s="27"/>
      <c r="U40" s="27"/>
      <c r="V40" s="20"/>
      <c r="W40" s="27">
        <v>0</v>
      </c>
      <c r="X40" s="27">
        <v>47</v>
      </c>
      <c r="Y40" s="27">
        <v>58</v>
      </c>
      <c r="Z40" s="27">
        <v>0</v>
      </c>
      <c r="AA40" s="27">
        <v>0</v>
      </c>
      <c r="AB40" s="27">
        <v>0</v>
      </c>
      <c r="AC40" s="27">
        <v>105</v>
      </c>
    </row>
    <row r="41" spans="1:29" ht="20" customHeight="1" x14ac:dyDescent="0.25">
      <c r="A41" s="73" t="s">
        <v>477</v>
      </c>
      <c r="B41" s="20">
        <v>80</v>
      </c>
      <c r="C41" s="20">
        <v>94</v>
      </c>
      <c r="D41" s="20">
        <v>79</v>
      </c>
      <c r="E41" s="20">
        <f>F41+G41</f>
        <v>110</v>
      </c>
      <c r="F41" s="27">
        <v>60</v>
      </c>
      <c r="G41" s="27">
        <v>50</v>
      </c>
      <c r="H41" s="20">
        <f>B41+C41+D41+E41</f>
        <v>363</v>
      </c>
      <c r="I41" s="20">
        <v>74</v>
      </c>
      <c r="J41" s="20">
        <v>83</v>
      </c>
      <c r="K41" s="20">
        <v>81</v>
      </c>
      <c r="L41" s="20">
        <v>110</v>
      </c>
      <c r="M41" s="20">
        <v>64</v>
      </c>
      <c r="N41" s="20">
        <v>46</v>
      </c>
      <c r="O41" s="20">
        <f>I41+J41+K41+L41</f>
        <v>348</v>
      </c>
      <c r="P41" s="20">
        <v>86</v>
      </c>
      <c r="Q41" s="20">
        <v>71</v>
      </c>
      <c r="R41" s="20">
        <v>92</v>
      </c>
      <c r="S41" s="20">
        <f t="shared" si="8"/>
        <v>112</v>
      </c>
      <c r="T41" s="20">
        <v>56</v>
      </c>
      <c r="U41" s="20">
        <v>56</v>
      </c>
      <c r="V41" s="20">
        <f t="shared" si="9"/>
        <v>361</v>
      </c>
      <c r="W41" s="20">
        <v>86</v>
      </c>
      <c r="X41" s="20">
        <v>89</v>
      </c>
      <c r="Y41" s="20">
        <v>86</v>
      </c>
      <c r="Z41" s="20">
        <f t="shared" si="5"/>
        <v>122</v>
      </c>
      <c r="AA41" s="20">
        <v>66</v>
      </c>
      <c r="AB41" s="20">
        <v>56</v>
      </c>
      <c r="AC41" s="20">
        <f t="shared" si="6"/>
        <v>383</v>
      </c>
    </row>
    <row r="42" spans="1:29" ht="20" customHeight="1" x14ac:dyDescent="0.25">
      <c r="A42" s="27" t="s">
        <v>478</v>
      </c>
      <c r="B42" s="20">
        <v>52</v>
      </c>
      <c r="C42" s="20">
        <v>31</v>
      </c>
      <c r="D42" s="20">
        <v>70</v>
      </c>
      <c r="E42" s="20">
        <f>F42+G42</f>
        <v>98</v>
      </c>
      <c r="F42" s="20">
        <v>46</v>
      </c>
      <c r="G42" s="20">
        <v>52</v>
      </c>
      <c r="H42" s="20">
        <f>B42+C42+D42+E42</f>
        <v>251</v>
      </c>
      <c r="I42" s="27"/>
      <c r="J42" s="27"/>
      <c r="K42" s="27"/>
      <c r="L42" s="27"/>
      <c r="M42" s="27"/>
      <c r="N42" s="20"/>
      <c r="O42" s="20"/>
      <c r="P42" s="27">
        <v>68</v>
      </c>
      <c r="Q42" s="27">
        <v>48</v>
      </c>
      <c r="R42" s="27">
        <v>89</v>
      </c>
      <c r="S42" s="20">
        <f t="shared" si="8"/>
        <v>101</v>
      </c>
      <c r="T42" s="27">
        <v>44</v>
      </c>
      <c r="U42" s="20">
        <v>57</v>
      </c>
      <c r="V42" s="20">
        <f t="shared" si="9"/>
        <v>306</v>
      </c>
      <c r="W42" s="27">
        <v>64</v>
      </c>
      <c r="X42" s="27">
        <v>51</v>
      </c>
      <c r="Y42" s="27">
        <v>89</v>
      </c>
      <c r="Z42" s="20">
        <f t="shared" si="5"/>
        <v>106</v>
      </c>
      <c r="AA42" s="27">
        <v>54</v>
      </c>
      <c r="AB42" s="20">
        <v>52</v>
      </c>
      <c r="AC42" s="20">
        <f t="shared" si="6"/>
        <v>310</v>
      </c>
    </row>
    <row r="43" spans="1:29" ht="15" x14ac:dyDescent="0.25">
      <c r="A43" s="74" t="s">
        <v>479</v>
      </c>
      <c r="B43" s="20">
        <v>56</v>
      </c>
      <c r="C43" s="20">
        <v>58</v>
      </c>
      <c r="D43" s="20">
        <v>62</v>
      </c>
      <c r="E43" s="20">
        <f>F43+G43</f>
        <v>92</v>
      </c>
      <c r="F43" s="20">
        <v>40</v>
      </c>
      <c r="G43" s="20">
        <v>52</v>
      </c>
      <c r="H43" s="20">
        <f>B43+C43+D43+E43</f>
        <v>268</v>
      </c>
      <c r="I43" s="27"/>
      <c r="J43" s="27"/>
      <c r="K43" s="27"/>
      <c r="L43" s="27"/>
      <c r="M43" s="27"/>
      <c r="N43" s="20"/>
      <c r="O43" s="20"/>
      <c r="P43" s="27"/>
      <c r="Q43" s="27"/>
      <c r="R43" s="27"/>
      <c r="S43" s="27"/>
      <c r="T43" s="27"/>
      <c r="U43" s="27"/>
      <c r="V43" s="20"/>
      <c r="W43" s="27">
        <v>64</v>
      </c>
      <c r="X43" s="27">
        <v>49</v>
      </c>
      <c r="Y43" s="27">
        <v>83</v>
      </c>
      <c r="Z43" s="20">
        <f t="shared" si="5"/>
        <v>109</v>
      </c>
      <c r="AA43" s="27">
        <v>60</v>
      </c>
      <c r="AB43" s="27">
        <v>49</v>
      </c>
      <c r="AC43" s="20">
        <f t="shared" si="6"/>
        <v>305</v>
      </c>
    </row>
    <row r="44" spans="1:29" ht="15" x14ac:dyDescent="0.25">
      <c r="A44" s="74" t="s">
        <v>480</v>
      </c>
      <c r="B44" s="20">
        <v>70</v>
      </c>
      <c r="C44" s="20">
        <v>37</v>
      </c>
      <c r="D44" s="20">
        <v>56</v>
      </c>
      <c r="E44" s="20">
        <f>F44+G44</f>
        <v>112</v>
      </c>
      <c r="F44" s="20">
        <v>64</v>
      </c>
      <c r="G44" s="20">
        <v>48</v>
      </c>
      <c r="H44" s="20">
        <f>B44+C44+D44+E44</f>
        <v>275</v>
      </c>
      <c r="I44" s="20">
        <v>66</v>
      </c>
      <c r="J44" s="20">
        <v>38</v>
      </c>
      <c r="K44" s="20">
        <v>75</v>
      </c>
      <c r="L44" s="20">
        <v>116</v>
      </c>
      <c r="M44" s="20">
        <v>56</v>
      </c>
      <c r="N44" s="20">
        <v>60</v>
      </c>
      <c r="O44" s="20">
        <f>I44+J44+K44+L44</f>
        <v>295</v>
      </c>
      <c r="P44" s="20"/>
      <c r="Q44" s="20"/>
      <c r="R44" s="20"/>
      <c r="S44" s="20"/>
      <c r="T44" s="20"/>
      <c r="U44" s="20"/>
      <c r="V44" s="20"/>
      <c r="W44" s="20">
        <v>64</v>
      </c>
      <c r="X44" s="20">
        <v>32</v>
      </c>
      <c r="Y44" s="20">
        <v>68</v>
      </c>
      <c r="Z44" s="20">
        <f t="shared" si="5"/>
        <v>104</v>
      </c>
      <c r="AA44" s="20">
        <v>48</v>
      </c>
      <c r="AB44" s="20">
        <v>56</v>
      </c>
      <c r="AC44" s="20">
        <f t="shared" si="6"/>
        <v>268</v>
      </c>
    </row>
    <row r="45" spans="1:29" ht="15" x14ac:dyDescent="0.25">
      <c r="A45" s="74" t="s">
        <v>481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0"/>
      <c r="O45" s="20"/>
      <c r="P45" s="27"/>
      <c r="Q45" s="27"/>
      <c r="R45" s="27"/>
      <c r="S45" s="27"/>
      <c r="T45" s="27"/>
      <c r="U45" s="27"/>
      <c r="V45" s="20"/>
      <c r="W45" s="27">
        <v>68</v>
      </c>
      <c r="X45" s="27">
        <v>36</v>
      </c>
      <c r="Y45" s="27">
        <v>63</v>
      </c>
      <c r="Z45" s="20">
        <f t="shared" si="5"/>
        <v>98</v>
      </c>
      <c r="AA45" s="27">
        <v>42</v>
      </c>
      <c r="AB45" s="27">
        <v>56</v>
      </c>
      <c r="AC45" s="20">
        <f t="shared" si="6"/>
        <v>265</v>
      </c>
    </row>
    <row r="46" spans="1:29" x14ac:dyDescent="0.25">
      <c r="A46" s="20" t="s">
        <v>280</v>
      </c>
      <c r="B46" s="20">
        <v>78</v>
      </c>
      <c r="C46" s="20">
        <v>84</v>
      </c>
      <c r="D46" s="20">
        <v>71</v>
      </c>
      <c r="E46" s="20">
        <f>F46+G46</f>
        <v>82</v>
      </c>
      <c r="F46" s="20">
        <v>50</v>
      </c>
      <c r="G46" s="20">
        <v>32</v>
      </c>
      <c r="H46" s="20">
        <f>B46+C46+D46+E46</f>
        <v>315</v>
      </c>
      <c r="I46" s="20">
        <v>78</v>
      </c>
      <c r="J46" s="20">
        <v>90</v>
      </c>
      <c r="K46" s="20">
        <v>65</v>
      </c>
      <c r="L46" s="20">
        <v>106</v>
      </c>
      <c r="M46" s="20">
        <v>46</v>
      </c>
      <c r="N46" s="20">
        <v>60</v>
      </c>
      <c r="O46" s="20">
        <f>I46+J46+K46+L46</f>
        <v>339</v>
      </c>
      <c r="P46" s="20"/>
      <c r="Q46" s="20"/>
      <c r="R46" s="20"/>
      <c r="S46" s="20"/>
      <c r="T46" s="20"/>
      <c r="U46" s="20"/>
      <c r="V46" s="20"/>
      <c r="W46" s="20">
        <v>78</v>
      </c>
      <c r="X46" s="20">
        <v>91</v>
      </c>
      <c r="Y46" s="20">
        <v>78</v>
      </c>
      <c r="Z46" s="20">
        <f t="shared" si="5"/>
        <v>89</v>
      </c>
      <c r="AA46" s="20">
        <v>58</v>
      </c>
      <c r="AB46" s="20">
        <v>31</v>
      </c>
      <c r="AC46" s="20">
        <f t="shared" si="6"/>
        <v>336</v>
      </c>
    </row>
    <row r="47" spans="1:29" x14ac:dyDescent="0.25">
      <c r="A47" s="20" t="s">
        <v>482</v>
      </c>
      <c r="B47" s="20">
        <v>78</v>
      </c>
      <c r="C47" s="20">
        <v>94</v>
      </c>
      <c r="D47" s="20">
        <v>71</v>
      </c>
      <c r="E47" s="20">
        <f>F47+G47</f>
        <v>126</v>
      </c>
      <c r="F47" s="20">
        <v>70</v>
      </c>
      <c r="G47" s="20">
        <v>56</v>
      </c>
      <c r="H47" s="20">
        <f>B47+C47+D47+E47</f>
        <v>369</v>
      </c>
      <c r="I47" s="20">
        <v>86</v>
      </c>
      <c r="J47" s="20">
        <v>96</v>
      </c>
      <c r="K47" s="20">
        <v>71</v>
      </c>
      <c r="L47" s="20">
        <v>126</v>
      </c>
      <c r="M47" s="20">
        <v>82</v>
      </c>
      <c r="N47" s="20">
        <v>44</v>
      </c>
      <c r="O47" s="20">
        <f>I47+J47+K47+L47</f>
        <v>379</v>
      </c>
      <c r="P47" s="20">
        <v>88</v>
      </c>
      <c r="Q47" s="20">
        <v>72</v>
      </c>
      <c r="R47" s="20">
        <v>89</v>
      </c>
      <c r="S47" s="20">
        <f t="shared" si="8"/>
        <v>114</v>
      </c>
      <c r="T47" s="20">
        <v>60</v>
      </c>
      <c r="U47" s="20">
        <v>54</v>
      </c>
      <c r="V47" s="20">
        <f t="shared" si="9"/>
        <v>363</v>
      </c>
      <c r="W47" s="20">
        <v>84</v>
      </c>
      <c r="X47" s="20">
        <v>80</v>
      </c>
      <c r="Y47" s="20">
        <v>70</v>
      </c>
      <c r="Z47" s="20">
        <f t="shared" si="5"/>
        <v>120</v>
      </c>
      <c r="AA47" s="20">
        <v>70</v>
      </c>
      <c r="AB47" s="20">
        <v>50</v>
      </c>
      <c r="AC47" s="20">
        <f t="shared" si="6"/>
        <v>354</v>
      </c>
    </row>
    <row r="48" spans="1:29" x14ac:dyDescent="0.25">
      <c r="A48" s="20" t="s">
        <v>483</v>
      </c>
      <c r="B48" s="20">
        <v>76</v>
      </c>
      <c r="C48" s="20">
        <v>97</v>
      </c>
      <c r="D48" s="20">
        <v>77</v>
      </c>
      <c r="E48" s="20">
        <f>F48+G48</f>
        <v>126</v>
      </c>
      <c r="F48" s="20">
        <v>70</v>
      </c>
      <c r="G48" s="20">
        <v>56</v>
      </c>
      <c r="H48" s="20">
        <f>B48+C48+D48+E48</f>
        <v>376</v>
      </c>
      <c r="I48" s="20">
        <v>76</v>
      </c>
      <c r="J48" s="20">
        <v>78</v>
      </c>
      <c r="K48" s="20">
        <v>77</v>
      </c>
      <c r="L48" s="20">
        <v>130</v>
      </c>
      <c r="M48" s="20">
        <v>80</v>
      </c>
      <c r="N48" s="20">
        <v>50</v>
      </c>
      <c r="O48" s="20">
        <f>I48+J48+K48+L48</f>
        <v>361</v>
      </c>
      <c r="P48" s="20">
        <v>88</v>
      </c>
      <c r="Q48" s="20">
        <v>70</v>
      </c>
      <c r="R48" s="20">
        <v>80</v>
      </c>
      <c r="S48" s="20">
        <f t="shared" si="8"/>
        <v>135</v>
      </c>
      <c r="T48" s="20">
        <v>72</v>
      </c>
      <c r="U48" s="20">
        <v>63</v>
      </c>
      <c r="V48" s="20">
        <f t="shared" si="9"/>
        <v>373</v>
      </c>
      <c r="W48" s="20">
        <v>92</v>
      </c>
      <c r="X48" s="20">
        <v>75</v>
      </c>
      <c r="Y48" s="20">
        <v>86</v>
      </c>
      <c r="Z48" s="20">
        <f t="shared" si="5"/>
        <v>122</v>
      </c>
      <c r="AA48" s="20">
        <v>74</v>
      </c>
      <c r="AB48" s="20">
        <v>48</v>
      </c>
      <c r="AC48" s="20">
        <f t="shared" si="6"/>
        <v>375</v>
      </c>
    </row>
    <row r="49" spans="5:5" x14ac:dyDescent="0.25">
      <c r="E49" s="17"/>
    </row>
  </sheetData>
  <sheetProtection formatCells="0" formatColumns="0" formatRows="0" insertColumns="0" insertRows="0" insertHyperlinks="0" deleteColumns="0" deleteRows="0" sort="0" autoFilter="0" pivotTables="0"/>
  <mergeCells count="4">
    <mergeCell ref="W1:AC1"/>
    <mergeCell ref="B1:H1"/>
    <mergeCell ref="I1:O1"/>
    <mergeCell ref="P1:V1"/>
  </mergeCells>
  <phoneticPr fontId="15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53"/>
  <sheetViews>
    <sheetView topLeftCell="E1" zoomScaleNormal="100" workbookViewId="0">
      <selection activeCell="I9" sqref="I9"/>
    </sheetView>
  </sheetViews>
  <sheetFormatPr defaultColWidth="9.6328125" defaultRowHeight="14" x14ac:dyDescent="0.25"/>
  <cols>
    <col min="1" max="1" width="9.08984375" bestFit="1" customWidth="1"/>
    <col min="2" max="4" width="6.54296875" bestFit="1" customWidth="1"/>
    <col min="5" max="5" width="17.26953125" bestFit="1" customWidth="1"/>
    <col min="6" max="7" width="11.7265625" bestFit="1" customWidth="1"/>
    <col min="8" max="8" width="6.54296875" bestFit="1" customWidth="1"/>
    <col min="9" max="11" width="6.54296875" style="1" bestFit="1" customWidth="1"/>
    <col min="12" max="12" width="17.26953125" style="1" bestFit="1" customWidth="1"/>
    <col min="13" max="13" width="11.7265625" style="1" bestFit="1" customWidth="1"/>
    <col min="14" max="14" width="11.7265625" style="2" bestFit="1" customWidth="1"/>
    <col min="15" max="15" width="6.54296875" style="1" bestFit="1" customWidth="1"/>
    <col min="16" max="18" width="6.54296875" bestFit="1" customWidth="1"/>
    <col min="19" max="19" width="17.26953125" bestFit="1" customWidth="1"/>
    <col min="20" max="21" width="11.7265625" bestFit="1" customWidth="1"/>
    <col min="22" max="22" width="6.54296875" style="1" bestFit="1" customWidth="1"/>
    <col min="23" max="25" width="6.54296875" style="3" bestFit="1" customWidth="1"/>
    <col min="26" max="26" width="17.26953125" style="3" bestFit="1" customWidth="1"/>
    <col min="27" max="28" width="11.7265625" style="3" bestFit="1" customWidth="1"/>
    <col min="29" max="29" width="6.54296875" style="3" bestFit="1" customWidth="1"/>
  </cols>
  <sheetData>
    <row r="1" spans="1:29" ht="17.5" x14ac:dyDescent="0.25">
      <c r="A1" s="4"/>
      <c r="B1" s="100" t="s">
        <v>0</v>
      </c>
      <c r="C1" s="100"/>
      <c r="D1" s="100"/>
      <c r="E1" s="100"/>
      <c r="F1" s="100"/>
      <c r="G1" s="100"/>
      <c r="H1" s="100"/>
      <c r="I1" s="100" t="s">
        <v>1</v>
      </c>
      <c r="J1" s="100"/>
      <c r="K1" s="100"/>
      <c r="L1" s="100"/>
      <c r="M1" s="104"/>
      <c r="N1" s="100"/>
      <c r="O1" s="107"/>
      <c r="P1" s="100" t="s">
        <v>2</v>
      </c>
      <c r="Q1" s="100"/>
      <c r="R1" s="100"/>
      <c r="S1" s="100"/>
      <c r="T1" s="104"/>
      <c r="U1" s="100"/>
      <c r="V1" s="105"/>
      <c r="W1" s="106" t="s">
        <v>525</v>
      </c>
      <c r="X1" s="100"/>
      <c r="Y1" s="100"/>
      <c r="Z1" s="100"/>
      <c r="AA1" s="100"/>
      <c r="AB1" s="100"/>
      <c r="AC1" s="100"/>
    </row>
    <row r="2" spans="1:29" ht="17.5" x14ac:dyDescent="0.25">
      <c r="A2" s="5" t="s">
        <v>5</v>
      </c>
      <c r="B2" s="5" t="s">
        <v>3</v>
      </c>
      <c r="C2" s="5" t="s">
        <v>4</v>
      </c>
      <c r="D2" s="75" t="s">
        <v>528</v>
      </c>
      <c r="E2" s="75" t="s">
        <v>534</v>
      </c>
      <c r="F2" s="75" t="s">
        <v>6</v>
      </c>
      <c r="G2" s="75" t="s">
        <v>529</v>
      </c>
      <c r="H2" s="5" t="s">
        <v>9</v>
      </c>
      <c r="I2" s="5" t="s">
        <v>3</v>
      </c>
      <c r="J2" s="5" t="s">
        <v>4</v>
      </c>
      <c r="K2" s="75" t="s">
        <v>528</v>
      </c>
      <c r="L2" s="75" t="s">
        <v>534</v>
      </c>
      <c r="M2" s="75" t="s">
        <v>6</v>
      </c>
      <c r="N2" s="75" t="s">
        <v>529</v>
      </c>
      <c r="O2" s="5" t="s">
        <v>9</v>
      </c>
      <c r="P2" s="5" t="s">
        <v>3</v>
      </c>
      <c r="Q2" s="5" t="s">
        <v>4</v>
      </c>
      <c r="R2" s="75" t="s">
        <v>528</v>
      </c>
      <c r="S2" s="75" t="s">
        <v>534</v>
      </c>
      <c r="T2" s="75" t="s">
        <v>6</v>
      </c>
      <c r="U2" s="75" t="s">
        <v>529</v>
      </c>
      <c r="V2" s="5" t="s">
        <v>9</v>
      </c>
      <c r="W2" s="5" t="s">
        <v>3</v>
      </c>
      <c r="X2" s="5" t="s">
        <v>4</v>
      </c>
      <c r="Y2" s="75" t="s">
        <v>528</v>
      </c>
      <c r="Z2" s="75" t="s">
        <v>534</v>
      </c>
      <c r="AA2" s="75" t="s">
        <v>6</v>
      </c>
      <c r="AB2" s="75" t="s">
        <v>529</v>
      </c>
      <c r="AC2" s="5" t="s">
        <v>9</v>
      </c>
    </row>
    <row r="3" spans="1:29" ht="17.5" x14ac:dyDescent="0.25">
      <c r="A3" s="5" t="s">
        <v>484</v>
      </c>
      <c r="B3" s="5">
        <v>76</v>
      </c>
      <c r="C3" s="5">
        <v>63</v>
      </c>
      <c r="D3" s="5">
        <v>39</v>
      </c>
      <c r="E3" s="5">
        <v>48</v>
      </c>
      <c r="F3" s="5">
        <v>48</v>
      </c>
      <c r="G3" s="5">
        <v>96</v>
      </c>
      <c r="H3" s="5">
        <v>274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8"/>
      <c r="W3" s="7">
        <v>64</v>
      </c>
      <c r="X3" s="7">
        <v>60</v>
      </c>
      <c r="Y3" s="7">
        <v>82</v>
      </c>
      <c r="Z3" s="7">
        <v>36</v>
      </c>
      <c r="AA3" s="7">
        <v>15</v>
      </c>
      <c r="AB3" s="7">
        <v>51</v>
      </c>
      <c r="AC3" s="7">
        <v>257</v>
      </c>
    </row>
    <row r="4" spans="1:29" ht="17.5" x14ac:dyDescent="0.25">
      <c r="A4" s="5" t="s">
        <v>485</v>
      </c>
      <c r="B4" s="5">
        <v>76</v>
      </c>
      <c r="C4" s="5">
        <v>50</v>
      </c>
      <c r="D4" s="5">
        <v>70</v>
      </c>
      <c r="E4" s="5">
        <v>65</v>
      </c>
      <c r="F4" s="5">
        <v>25</v>
      </c>
      <c r="G4" s="5">
        <v>90</v>
      </c>
      <c r="H4" s="5">
        <v>286</v>
      </c>
      <c r="I4" s="7">
        <v>66</v>
      </c>
      <c r="J4" s="7">
        <v>54</v>
      </c>
      <c r="K4" s="7">
        <v>81</v>
      </c>
      <c r="L4" s="7">
        <v>68</v>
      </c>
      <c r="M4" s="7">
        <v>21</v>
      </c>
      <c r="N4" s="7">
        <v>89</v>
      </c>
      <c r="O4" s="7">
        <v>290</v>
      </c>
      <c r="P4" s="7">
        <v>82</v>
      </c>
      <c r="Q4" s="7">
        <v>51</v>
      </c>
      <c r="R4" s="7">
        <v>81</v>
      </c>
      <c r="S4" s="7">
        <v>76</v>
      </c>
      <c r="T4" s="7">
        <v>32</v>
      </c>
      <c r="U4" s="7">
        <v>108</v>
      </c>
      <c r="V4" s="8">
        <v>322</v>
      </c>
      <c r="W4" s="7">
        <v>86</v>
      </c>
      <c r="X4" s="7">
        <v>68</v>
      </c>
      <c r="Y4" s="7">
        <v>73</v>
      </c>
      <c r="Z4" s="7">
        <v>54</v>
      </c>
      <c r="AA4" s="7">
        <v>35</v>
      </c>
      <c r="AB4" s="7">
        <v>89</v>
      </c>
      <c r="AC4" s="7">
        <v>316</v>
      </c>
    </row>
    <row r="5" spans="1:29" ht="17.5" x14ac:dyDescent="0.25">
      <c r="A5" s="5" t="s">
        <v>486</v>
      </c>
      <c r="B5" s="5">
        <v>76</v>
      </c>
      <c r="C5" s="5">
        <v>62</v>
      </c>
      <c r="D5" s="5">
        <v>53</v>
      </c>
      <c r="E5" s="5">
        <v>68</v>
      </c>
      <c r="F5" s="5">
        <v>45</v>
      </c>
      <c r="G5" s="5">
        <v>113</v>
      </c>
      <c r="H5" s="5">
        <v>304</v>
      </c>
      <c r="I5" s="7">
        <v>80</v>
      </c>
      <c r="J5" s="7">
        <v>64</v>
      </c>
      <c r="K5" s="7">
        <v>58</v>
      </c>
      <c r="L5" s="7">
        <v>74</v>
      </c>
      <c r="M5" s="7">
        <v>24</v>
      </c>
      <c r="N5" s="7">
        <v>98</v>
      </c>
      <c r="O5" s="7">
        <v>300</v>
      </c>
      <c r="P5" s="7">
        <v>72</v>
      </c>
      <c r="Q5" s="7">
        <v>61</v>
      </c>
      <c r="R5" s="7">
        <v>59</v>
      </c>
      <c r="S5" s="7">
        <v>84</v>
      </c>
      <c r="T5" s="7">
        <v>32</v>
      </c>
      <c r="U5" s="7">
        <v>116</v>
      </c>
      <c r="V5" s="8">
        <v>308</v>
      </c>
      <c r="W5" s="7">
        <v>76</v>
      </c>
      <c r="X5" s="7">
        <v>71</v>
      </c>
      <c r="Y5" s="7">
        <v>51</v>
      </c>
      <c r="Z5" s="7">
        <v>70</v>
      </c>
      <c r="AA5" s="7">
        <v>24</v>
      </c>
      <c r="AB5" s="7">
        <v>94</v>
      </c>
      <c r="AC5" s="7">
        <v>292</v>
      </c>
    </row>
    <row r="6" spans="1:29" ht="17.5" x14ac:dyDescent="0.25">
      <c r="A6" s="5" t="s">
        <v>487</v>
      </c>
      <c r="B6" s="5">
        <v>86</v>
      </c>
      <c r="C6" s="5">
        <v>94</v>
      </c>
      <c r="D6" s="5">
        <v>68</v>
      </c>
      <c r="E6" s="5">
        <v>62</v>
      </c>
      <c r="F6" s="5">
        <v>45</v>
      </c>
      <c r="G6" s="5">
        <v>107</v>
      </c>
      <c r="H6" s="5">
        <v>355</v>
      </c>
      <c r="I6" s="7">
        <v>78</v>
      </c>
      <c r="J6" s="7">
        <v>90</v>
      </c>
      <c r="K6" s="7">
        <v>62</v>
      </c>
      <c r="L6" s="7">
        <v>62</v>
      </c>
      <c r="M6" s="7">
        <v>33</v>
      </c>
      <c r="N6" s="7">
        <v>95</v>
      </c>
      <c r="O6" s="7">
        <v>325</v>
      </c>
      <c r="P6" s="7">
        <v>82</v>
      </c>
      <c r="Q6" s="7">
        <v>92</v>
      </c>
      <c r="R6" s="7">
        <v>74</v>
      </c>
      <c r="S6" s="7">
        <v>78</v>
      </c>
      <c r="T6" s="7">
        <v>41</v>
      </c>
      <c r="U6" s="7">
        <v>119</v>
      </c>
      <c r="V6" s="8">
        <v>367</v>
      </c>
      <c r="W6" s="7">
        <v>90</v>
      </c>
      <c r="X6" s="7">
        <v>100</v>
      </c>
      <c r="Y6" s="7">
        <v>58</v>
      </c>
      <c r="Z6" s="7">
        <v>56</v>
      </c>
      <c r="AA6" s="7">
        <v>33</v>
      </c>
      <c r="AB6" s="7">
        <v>89</v>
      </c>
      <c r="AC6" s="7">
        <v>337</v>
      </c>
    </row>
    <row r="7" spans="1:29" ht="17.5" x14ac:dyDescent="0.25">
      <c r="A7" s="5" t="s">
        <v>488</v>
      </c>
      <c r="B7" s="5">
        <v>82</v>
      </c>
      <c r="C7" s="5">
        <v>89</v>
      </c>
      <c r="D7" s="5">
        <v>72</v>
      </c>
      <c r="E7" s="5">
        <v>60</v>
      </c>
      <c r="F7" s="5">
        <v>46</v>
      </c>
      <c r="G7" s="5">
        <v>106</v>
      </c>
      <c r="H7" s="5">
        <v>349</v>
      </c>
      <c r="I7" s="7">
        <v>84</v>
      </c>
      <c r="J7" s="7">
        <v>93</v>
      </c>
      <c r="K7" s="7">
        <v>80</v>
      </c>
      <c r="L7" s="7">
        <v>68</v>
      </c>
      <c r="M7" s="7">
        <v>35</v>
      </c>
      <c r="N7" s="7">
        <v>103</v>
      </c>
      <c r="O7" s="7">
        <v>360</v>
      </c>
      <c r="P7" s="7">
        <v>86</v>
      </c>
      <c r="Q7" s="7">
        <v>84</v>
      </c>
      <c r="R7" s="7">
        <v>73</v>
      </c>
      <c r="S7" s="7">
        <v>70</v>
      </c>
      <c r="T7" s="7">
        <v>36</v>
      </c>
      <c r="U7" s="7">
        <v>106</v>
      </c>
      <c r="V7" s="8">
        <v>349</v>
      </c>
      <c r="W7" s="7">
        <v>86</v>
      </c>
      <c r="X7" s="7">
        <v>97</v>
      </c>
      <c r="Y7" s="7">
        <v>82</v>
      </c>
      <c r="Z7" s="7">
        <v>66</v>
      </c>
      <c r="AA7" s="7">
        <v>41</v>
      </c>
      <c r="AB7" s="7">
        <v>107</v>
      </c>
      <c r="AC7" s="7">
        <v>372</v>
      </c>
    </row>
    <row r="8" spans="1:29" ht="17.5" x14ac:dyDescent="0.25">
      <c r="A8" s="5" t="s">
        <v>489</v>
      </c>
      <c r="B8" s="5">
        <v>84</v>
      </c>
      <c r="C8" s="5">
        <v>80</v>
      </c>
      <c r="D8" s="5">
        <v>35</v>
      </c>
      <c r="E8" s="5">
        <v>48</v>
      </c>
      <c r="F8" s="5">
        <v>29</v>
      </c>
      <c r="G8" s="5">
        <v>77</v>
      </c>
      <c r="H8" s="5">
        <v>276</v>
      </c>
      <c r="I8" s="7">
        <v>78</v>
      </c>
      <c r="J8" s="7">
        <v>93</v>
      </c>
      <c r="K8" s="7">
        <v>58</v>
      </c>
      <c r="L8" s="7">
        <v>70</v>
      </c>
      <c r="M8" s="7">
        <v>27</v>
      </c>
      <c r="N8" s="7">
        <v>97</v>
      </c>
      <c r="O8" s="7">
        <v>326</v>
      </c>
      <c r="P8" s="7">
        <v>80</v>
      </c>
      <c r="Q8" s="7">
        <v>59</v>
      </c>
      <c r="R8" s="7">
        <v>55</v>
      </c>
      <c r="S8" s="7">
        <v>74</v>
      </c>
      <c r="T8" s="7">
        <v>40</v>
      </c>
      <c r="U8" s="7">
        <v>114</v>
      </c>
      <c r="V8" s="8">
        <v>308</v>
      </c>
      <c r="W8" s="7">
        <v>92</v>
      </c>
      <c r="X8" s="7">
        <v>80</v>
      </c>
      <c r="Y8" s="7">
        <v>58</v>
      </c>
      <c r="Z8" s="7">
        <v>60</v>
      </c>
      <c r="AA8" s="7">
        <v>27</v>
      </c>
      <c r="AB8" s="7">
        <v>87</v>
      </c>
      <c r="AC8" s="7">
        <v>317</v>
      </c>
    </row>
    <row r="9" spans="1:29" ht="17.5" x14ac:dyDescent="0.25">
      <c r="A9" s="5" t="s">
        <v>490</v>
      </c>
      <c r="B9" s="5">
        <v>88</v>
      </c>
      <c r="C9" s="5">
        <v>70</v>
      </c>
      <c r="D9" s="5">
        <v>75</v>
      </c>
      <c r="E9" s="5">
        <v>64</v>
      </c>
      <c r="F9" s="5">
        <v>46</v>
      </c>
      <c r="G9" s="5">
        <v>110</v>
      </c>
      <c r="H9" s="5">
        <v>343</v>
      </c>
      <c r="I9" s="7">
        <v>90</v>
      </c>
      <c r="J9" s="7">
        <v>84</v>
      </c>
      <c r="K9" s="7">
        <v>82</v>
      </c>
      <c r="L9" s="7">
        <v>72</v>
      </c>
      <c r="M9" s="7">
        <v>21</v>
      </c>
      <c r="N9" s="7">
        <v>93</v>
      </c>
      <c r="O9" s="7">
        <v>349</v>
      </c>
      <c r="P9" s="7">
        <v>88</v>
      </c>
      <c r="Q9" s="7">
        <v>73</v>
      </c>
      <c r="R9" s="7">
        <v>70</v>
      </c>
      <c r="S9" s="7">
        <v>74</v>
      </c>
      <c r="T9" s="7">
        <v>21</v>
      </c>
      <c r="U9" s="7">
        <v>95</v>
      </c>
      <c r="V9" s="8">
        <v>326</v>
      </c>
      <c r="W9" s="7">
        <v>98</v>
      </c>
      <c r="X9" s="7">
        <v>87</v>
      </c>
      <c r="Y9" s="7">
        <v>69</v>
      </c>
      <c r="Z9" s="7">
        <v>50</v>
      </c>
      <c r="AA9" s="7">
        <v>27</v>
      </c>
      <c r="AB9" s="7">
        <v>77</v>
      </c>
      <c r="AC9" s="7">
        <v>331</v>
      </c>
    </row>
    <row r="10" spans="1:29" ht="17.5" x14ac:dyDescent="0.25">
      <c r="A10" s="5" t="s">
        <v>491</v>
      </c>
      <c r="B10" s="5">
        <v>82</v>
      </c>
      <c r="C10" s="5">
        <v>35</v>
      </c>
      <c r="D10" s="5">
        <v>70</v>
      </c>
      <c r="E10" s="5">
        <v>60</v>
      </c>
      <c r="F10" s="5">
        <v>37</v>
      </c>
      <c r="G10" s="5">
        <v>97</v>
      </c>
      <c r="H10" s="5">
        <v>284</v>
      </c>
      <c r="I10" s="7">
        <v>72</v>
      </c>
      <c r="J10" s="7">
        <v>51</v>
      </c>
      <c r="K10" s="7">
        <v>73</v>
      </c>
      <c r="L10" s="7">
        <v>70</v>
      </c>
      <c r="M10" s="7">
        <v>24</v>
      </c>
      <c r="N10" s="7">
        <v>94</v>
      </c>
      <c r="O10" s="7">
        <v>290</v>
      </c>
      <c r="P10" s="7">
        <v>86</v>
      </c>
      <c r="Q10" s="7">
        <v>43</v>
      </c>
      <c r="R10" s="7">
        <v>81</v>
      </c>
      <c r="S10" s="7">
        <v>58</v>
      </c>
      <c r="T10" s="7">
        <v>23</v>
      </c>
      <c r="U10" s="7">
        <v>81</v>
      </c>
      <c r="V10" s="8">
        <v>291</v>
      </c>
      <c r="W10" s="7">
        <v>88</v>
      </c>
      <c r="X10" s="7">
        <v>61</v>
      </c>
      <c r="Y10" s="7">
        <v>65</v>
      </c>
      <c r="Z10" s="7">
        <v>54</v>
      </c>
      <c r="AA10" s="7">
        <v>38</v>
      </c>
      <c r="AB10" s="7">
        <v>92</v>
      </c>
      <c r="AC10" s="7">
        <v>306</v>
      </c>
    </row>
    <row r="11" spans="1:29" ht="17.5" x14ac:dyDescent="0.25">
      <c r="A11" s="5" t="s">
        <v>492</v>
      </c>
      <c r="B11" s="5">
        <v>88</v>
      </c>
      <c r="C11" s="5">
        <v>82</v>
      </c>
      <c r="D11" s="5">
        <v>66</v>
      </c>
      <c r="E11" s="5">
        <v>80</v>
      </c>
      <c r="F11" s="5">
        <v>54</v>
      </c>
      <c r="G11" s="5">
        <v>134</v>
      </c>
      <c r="H11" s="5">
        <v>370</v>
      </c>
      <c r="I11" s="7">
        <v>88</v>
      </c>
      <c r="J11" s="7">
        <v>95</v>
      </c>
      <c r="K11" s="7">
        <v>64</v>
      </c>
      <c r="L11" s="7">
        <v>80</v>
      </c>
      <c r="M11" s="7">
        <v>54</v>
      </c>
      <c r="N11" s="7">
        <v>134</v>
      </c>
      <c r="O11" s="7">
        <v>381</v>
      </c>
      <c r="P11" s="7">
        <v>96</v>
      </c>
      <c r="Q11" s="7">
        <v>80</v>
      </c>
      <c r="R11" s="7">
        <v>64</v>
      </c>
      <c r="S11" s="7">
        <v>74</v>
      </c>
      <c r="T11" s="7">
        <v>47</v>
      </c>
      <c r="U11" s="7">
        <v>121</v>
      </c>
      <c r="V11" s="8">
        <v>361</v>
      </c>
      <c r="W11" s="7">
        <v>96</v>
      </c>
      <c r="X11" s="7">
        <v>94</v>
      </c>
      <c r="Y11" s="7">
        <v>58</v>
      </c>
      <c r="Z11" s="7">
        <v>64</v>
      </c>
      <c r="AA11" s="7">
        <v>42</v>
      </c>
      <c r="AB11" s="7">
        <v>106</v>
      </c>
      <c r="AC11" s="7">
        <v>354</v>
      </c>
    </row>
    <row r="12" spans="1:29" ht="17.5" x14ac:dyDescent="0.25">
      <c r="A12" s="5" t="s">
        <v>493</v>
      </c>
      <c r="B12" s="5">
        <v>74</v>
      </c>
      <c r="C12" s="5">
        <v>63</v>
      </c>
      <c r="D12" s="5">
        <v>67</v>
      </c>
      <c r="E12" s="5">
        <v>44</v>
      </c>
      <c r="F12" s="5">
        <v>40</v>
      </c>
      <c r="G12" s="5">
        <v>84</v>
      </c>
      <c r="H12" s="5">
        <v>288</v>
      </c>
      <c r="I12" s="7">
        <v>54</v>
      </c>
      <c r="J12" s="7">
        <v>73</v>
      </c>
      <c r="K12" s="7">
        <v>57</v>
      </c>
      <c r="L12" s="7">
        <v>62</v>
      </c>
      <c r="M12" s="7">
        <v>37</v>
      </c>
      <c r="N12" s="7">
        <v>99</v>
      </c>
      <c r="O12" s="7">
        <v>283</v>
      </c>
      <c r="P12" s="7"/>
      <c r="Q12" s="7"/>
      <c r="R12" s="7"/>
      <c r="S12" s="7"/>
      <c r="T12" s="7"/>
      <c r="U12" s="7"/>
      <c r="V12" s="8"/>
      <c r="W12" s="7">
        <v>76</v>
      </c>
      <c r="X12" s="7">
        <v>58</v>
      </c>
      <c r="Y12" s="7">
        <v>55</v>
      </c>
      <c r="Z12" s="7">
        <v>44</v>
      </c>
      <c r="AA12" s="7">
        <v>21</v>
      </c>
      <c r="AB12" s="7">
        <v>65</v>
      </c>
      <c r="AC12" s="7">
        <v>254</v>
      </c>
    </row>
    <row r="13" spans="1:29" ht="17.5" x14ac:dyDescent="0.25">
      <c r="A13" s="5" t="s">
        <v>494</v>
      </c>
      <c r="B13" s="5">
        <v>80</v>
      </c>
      <c r="C13" s="5">
        <v>96</v>
      </c>
      <c r="D13" s="5">
        <v>86</v>
      </c>
      <c r="E13" s="5">
        <v>60</v>
      </c>
      <c r="F13" s="5">
        <v>41</v>
      </c>
      <c r="G13" s="5">
        <v>101</v>
      </c>
      <c r="H13" s="5">
        <v>363</v>
      </c>
      <c r="I13" s="7">
        <v>70</v>
      </c>
      <c r="J13" s="7">
        <v>82</v>
      </c>
      <c r="K13" s="7">
        <v>84</v>
      </c>
      <c r="L13" s="7">
        <v>64</v>
      </c>
      <c r="M13" s="7">
        <v>27</v>
      </c>
      <c r="N13" s="7">
        <v>91</v>
      </c>
      <c r="O13" s="7">
        <v>327</v>
      </c>
      <c r="P13" s="7">
        <v>76</v>
      </c>
      <c r="Q13" s="7">
        <v>88</v>
      </c>
      <c r="R13" s="7">
        <v>82</v>
      </c>
      <c r="S13" s="7">
        <v>72</v>
      </c>
      <c r="T13" s="7">
        <v>38</v>
      </c>
      <c r="U13" s="7">
        <v>110</v>
      </c>
      <c r="V13" s="8">
        <v>356</v>
      </c>
      <c r="W13" s="7">
        <v>78</v>
      </c>
      <c r="X13" s="7">
        <v>87</v>
      </c>
      <c r="Y13" s="7">
        <v>84</v>
      </c>
      <c r="Z13" s="7">
        <v>54</v>
      </c>
      <c r="AA13" s="7">
        <v>32</v>
      </c>
      <c r="AB13" s="7">
        <v>86</v>
      </c>
      <c r="AC13" s="7">
        <v>335</v>
      </c>
    </row>
    <row r="14" spans="1:29" ht="17.5" x14ac:dyDescent="0.25">
      <c r="A14" s="5" t="s">
        <v>495</v>
      </c>
      <c r="B14" s="5">
        <v>70</v>
      </c>
      <c r="C14" s="5">
        <v>81</v>
      </c>
      <c r="D14" s="5">
        <v>50</v>
      </c>
      <c r="E14" s="5">
        <v>56</v>
      </c>
      <c r="F14" s="5">
        <v>36</v>
      </c>
      <c r="G14" s="5">
        <v>92</v>
      </c>
      <c r="H14" s="5">
        <v>293</v>
      </c>
      <c r="I14" s="7">
        <v>72</v>
      </c>
      <c r="J14" s="7">
        <v>85</v>
      </c>
      <c r="K14" s="7">
        <v>64</v>
      </c>
      <c r="L14" s="7">
        <v>74</v>
      </c>
      <c r="M14" s="7">
        <v>35</v>
      </c>
      <c r="N14" s="7">
        <v>109</v>
      </c>
      <c r="O14" s="7">
        <v>330</v>
      </c>
      <c r="P14" s="7">
        <v>76</v>
      </c>
      <c r="Q14" s="7">
        <v>81</v>
      </c>
      <c r="R14" s="7">
        <v>71</v>
      </c>
      <c r="S14" s="7">
        <v>72</v>
      </c>
      <c r="T14" s="7">
        <v>43</v>
      </c>
      <c r="U14" s="7">
        <v>115</v>
      </c>
      <c r="V14" s="8">
        <v>343</v>
      </c>
      <c r="W14" s="7">
        <v>78</v>
      </c>
      <c r="X14" s="7">
        <v>90</v>
      </c>
      <c r="Y14" s="7">
        <v>53</v>
      </c>
      <c r="Z14" s="7">
        <v>46</v>
      </c>
      <c r="AA14" s="7">
        <v>27</v>
      </c>
      <c r="AB14" s="7">
        <v>73</v>
      </c>
      <c r="AC14" s="7">
        <v>294</v>
      </c>
    </row>
    <row r="15" spans="1:29" ht="17.5" x14ac:dyDescent="0.25">
      <c r="A15" s="5" t="s">
        <v>496</v>
      </c>
      <c r="B15" s="5">
        <v>78</v>
      </c>
      <c r="C15" s="5">
        <v>81</v>
      </c>
      <c r="D15" s="5">
        <v>43</v>
      </c>
      <c r="E15" s="5">
        <v>56</v>
      </c>
      <c r="F15" s="5">
        <v>31</v>
      </c>
      <c r="G15" s="5">
        <v>87</v>
      </c>
      <c r="H15" s="5">
        <v>289</v>
      </c>
      <c r="I15" s="7">
        <v>60</v>
      </c>
      <c r="J15" s="7">
        <v>78</v>
      </c>
      <c r="K15" s="7">
        <v>69</v>
      </c>
      <c r="L15" s="7">
        <v>58</v>
      </c>
      <c r="M15" s="7">
        <v>36</v>
      </c>
      <c r="N15" s="7">
        <v>94</v>
      </c>
      <c r="O15" s="7">
        <v>301</v>
      </c>
      <c r="P15" s="7">
        <v>70</v>
      </c>
      <c r="Q15" s="7">
        <v>64</v>
      </c>
      <c r="R15" s="7">
        <v>60</v>
      </c>
      <c r="S15" s="7">
        <v>58</v>
      </c>
      <c r="T15" s="7">
        <v>32</v>
      </c>
      <c r="U15" s="7">
        <v>90</v>
      </c>
      <c r="V15" s="8">
        <v>284</v>
      </c>
      <c r="W15" s="7">
        <v>78</v>
      </c>
      <c r="X15" s="7">
        <v>83</v>
      </c>
      <c r="Y15" s="7">
        <v>55</v>
      </c>
      <c r="Z15" s="7">
        <v>56</v>
      </c>
      <c r="AA15" s="7">
        <v>39</v>
      </c>
      <c r="AB15" s="7">
        <v>95</v>
      </c>
      <c r="AC15" s="7">
        <v>311</v>
      </c>
    </row>
    <row r="16" spans="1:29" ht="17.5" x14ac:dyDescent="0.25">
      <c r="A16" s="6" t="s">
        <v>497</v>
      </c>
      <c r="B16" s="5">
        <v>70</v>
      </c>
      <c r="C16" s="5">
        <v>80</v>
      </c>
      <c r="D16" s="5">
        <v>60</v>
      </c>
      <c r="E16" s="5">
        <v>68</v>
      </c>
      <c r="F16" s="5">
        <v>35</v>
      </c>
      <c r="G16" s="5">
        <v>103</v>
      </c>
      <c r="H16" s="5">
        <v>313</v>
      </c>
      <c r="I16" s="7">
        <v>64</v>
      </c>
      <c r="J16" s="7">
        <v>84</v>
      </c>
      <c r="K16" s="7">
        <v>62</v>
      </c>
      <c r="L16" s="7">
        <v>70</v>
      </c>
      <c r="M16" s="7">
        <v>30</v>
      </c>
      <c r="N16" s="7">
        <v>100</v>
      </c>
      <c r="O16" s="7">
        <v>310</v>
      </c>
      <c r="P16" s="7">
        <v>58</v>
      </c>
      <c r="Q16" s="7">
        <v>79</v>
      </c>
      <c r="R16" s="7">
        <v>82</v>
      </c>
      <c r="S16" s="7">
        <v>72</v>
      </c>
      <c r="T16" s="7">
        <v>33</v>
      </c>
      <c r="U16" s="7">
        <v>105</v>
      </c>
      <c r="V16" s="8">
        <v>324</v>
      </c>
      <c r="W16" s="7">
        <v>68</v>
      </c>
      <c r="X16" s="7">
        <v>96</v>
      </c>
      <c r="Y16" s="7">
        <v>78</v>
      </c>
      <c r="Z16" s="7">
        <v>66</v>
      </c>
      <c r="AA16" s="7">
        <v>21</v>
      </c>
      <c r="AB16" s="7">
        <v>87</v>
      </c>
      <c r="AC16" s="7">
        <v>329</v>
      </c>
    </row>
    <row r="17" spans="1:29" ht="17.5" x14ac:dyDescent="0.25">
      <c r="A17" s="5" t="s">
        <v>498</v>
      </c>
      <c r="B17" s="5">
        <v>86</v>
      </c>
      <c r="C17" s="5">
        <v>94</v>
      </c>
      <c r="D17" s="5">
        <v>81</v>
      </c>
      <c r="E17" s="5">
        <v>84</v>
      </c>
      <c r="F17" s="5">
        <v>54</v>
      </c>
      <c r="G17" s="5">
        <v>138</v>
      </c>
      <c r="H17" s="5">
        <v>399</v>
      </c>
      <c r="I17" s="7">
        <v>76</v>
      </c>
      <c r="J17" s="7">
        <v>83</v>
      </c>
      <c r="K17" s="7">
        <v>83</v>
      </c>
      <c r="L17" s="7">
        <v>82</v>
      </c>
      <c r="M17" s="7">
        <v>41</v>
      </c>
      <c r="N17" s="7">
        <v>123</v>
      </c>
      <c r="O17" s="7">
        <v>365</v>
      </c>
      <c r="P17" s="7"/>
      <c r="Q17" s="7"/>
      <c r="R17" s="7"/>
      <c r="S17" s="7"/>
      <c r="T17" s="7"/>
      <c r="U17" s="7"/>
      <c r="V17" s="8"/>
      <c r="W17" s="7">
        <v>92</v>
      </c>
      <c r="X17" s="7">
        <v>92</v>
      </c>
      <c r="Y17" s="7">
        <v>56</v>
      </c>
      <c r="Z17" s="7">
        <v>64</v>
      </c>
      <c r="AA17" s="7">
        <v>52</v>
      </c>
      <c r="AB17" s="7">
        <v>116</v>
      </c>
      <c r="AC17" s="7">
        <v>356</v>
      </c>
    </row>
    <row r="18" spans="1:29" ht="17.5" x14ac:dyDescent="0.25">
      <c r="A18" s="5" t="s">
        <v>499</v>
      </c>
      <c r="B18" s="5">
        <v>76</v>
      </c>
      <c r="C18" s="5">
        <v>80</v>
      </c>
      <c r="D18" s="5">
        <v>59</v>
      </c>
      <c r="E18" s="5">
        <v>70</v>
      </c>
      <c r="F18" s="5">
        <v>41</v>
      </c>
      <c r="G18" s="5">
        <v>111</v>
      </c>
      <c r="H18" s="5">
        <v>326</v>
      </c>
      <c r="I18" s="7">
        <v>66</v>
      </c>
      <c r="J18" s="7">
        <v>75</v>
      </c>
      <c r="K18" s="7">
        <v>51</v>
      </c>
      <c r="L18" s="7">
        <v>62</v>
      </c>
      <c r="M18" s="7">
        <v>30</v>
      </c>
      <c r="N18" s="7">
        <v>92</v>
      </c>
      <c r="O18" s="7">
        <v>284</v>
      </c>
      <c r="P18" s="7">
        <v>78</v>
      </c>
      <c r="Q18" s="7">
        <v>74</v>
      </c>
      <c r="R18" s="7">
        <v>62</v>
      </c>
      <c r="S18" s="7">
        <v>56</v>
      </c>
      <c r="T18" s="7">
        <v>24</v>
      </c>
      <c r="U18" s="7">
        <v>80</v>
      </c>
      <c r="V18" s="8">
        <v>294</v>
      </c>
      <c r="W18" s="7">
        <v>78</v>
      </c>
      <c r="X18" s="7">
        <v>89</v>
      </c>
      <c r="Y18" s="7">
        <v>65</v>
      </c>
      <c r="Z18" s="7">
        <v>72</v>
      </c>
      <c r="AA18" s="7">
        <v>26</v>
      </c>
      <c r="AB18" s="7">
        <v>98</v>
      </c>
      <c r="AC18" s="7">
        <v>330</v>
      </c>
    </row>
    <row r="19" spans="1:29" ht="17.5" x14ac:dyDescent="0.25">
      <c r="A19" s="5" t="s">
        <v>500</v>
      </c>
      <c r="B19" s="5">
        <v>78</v>
      </c>
      <c r="C19" s="5">
        <v>100</v>
      </c>
      <c r="D19" s="5">
        <v>84</v>
      </c>
      <c r="E19" s="5">
        <v>74</v>
      </c>
      <c r="F19" s="5">
        <v>54</v>
      </c>
      <c r="G19" s="5">
        <v>128</v>
      </c>
      <c r="H19" s="5">
        <v>390</v>
      </c>
      <c r="I19" s="7">
        <v>72</v>
      </c>
      <c r="J19" s="7">
        <v>95</v>
      </c>
      <c r="K19" s="7">
        <v>88</v>
      </c>
      <c r="L19" s="7">
        <v>78</v>
      </c>
      <c r="M19" s="7">
        <v>41</v>
      </c>
      <c r="N19" s="7">
        <v>119</v>
      </c>
      <c r="O19" s="7">
        <v>374</v>
      </c>
      <c r="P19" s="7">
        <v>72</v>
      </c>
      <c r="Q19" s="7">
        <v>93</v>
      </c>
      <c r="R19" s="7">
        <v>88</v>
      </c>
      <c r="S19" s="7">
        <v>48</v>
      </c>
      <c r="T19" s="7">
        <v>38</v>
      </c>
      <c r="U19" s="7">
        <v>86</v>
      </c>
      <c r="V19" s="8">
        <v>339</v>
      </c>
      <c r="W19" s="7">
        <v>80</v>
      </c>
      <c r="X19" s="7">
        <v>89</v>
      </c>
      <c r="Y19" s="7">
        <v>71</v>
      </c>
      <c r="Z19" s="7">
        <v>66</v>
      </c>
      <c r="AA19" s="7">
        <v>47</v>
      </c>
      <c r="AB19" s="7">
        <v>113</v>
      </c>
      <c r="AC19" s="7">
        <v>353</v>
      </c>
    </row>
    <row r="20" spans="1:29" ht="17.5" x14ac:dyDescent="0.25">
      <c r="A20" s="5" t="s">
        <v>501</v>
      </c>
      <c r="B20" s="5">
        <v>78</v>
      </c>
      <c r="C20" s="5">
        <v>90</v>
      </c>
      <c r="D20" s="5">
        <v>92</v>
      </c>
      <c r="E20" s="5">
        <v>44</v>
      </c>
      <c r="F20" s="5">
        <v>51</v>
      </c>
      <c r="G20" s="5">
        <v>95</v>
      </c>
      <c r="H20" s="5">
        <v>355</v>
      </c>
      <c r="I20" s="7">
        <v>72</v>
      </c>
      <c r="J20" s="7">
        <v>88</v>
      </c>
      <c r="K20" s="7">
        <v>75</v>
      </c>
      <c r="L20" s="7">
        <v>64</v>
      </c>
      <c r="M20" s="7">
        <v>32</v>
      </c>
      <c r="N20" s="7">
        <v>96</v>
      </c>
      <c r="O20" s="7">
        <v>331</v>
      </c>
      <c r="P20" s="7">
        <v>74</v>
      </c>
      <c r="Q20" s="7">
        <v>70</v>
      </c>
      <c r="R20" s="7">
        <v>79</v>
      </c>
      <c r="S20" s="7">
        <v>38</v>
      </c>
      <c r="T20" s="7">
        <v>12</v>
      </c>
      <c r="U20" s="7">
        <v>50</v>
      </c>
      <c r="V20" s="8">
        <v>273</v>
      </c>
      <c r="W20" s="7">
        <v>84</v>
      </c>
      <c r="X20" s="7">
        <v>90</v>
      </c>
      <c r="Y20" s="7">
        <v>58</v>
      </c>
      <c r="Z20" s="7">
        <v>56</v>
      </c>
      <c r="AA20" s="7">
        <v>35</v>
      </c>
      <c r="AB20" s="7">
        <v>91</v>
      </c>
      <c r="AC20" s="7">
        <v>323</v>
      </c>
    </row>
    <row r="21" spans="1:29" ht="17.5" x14ac:dyDescent="0.25">
      <c r="A21" s="5" t="s">
        <v>502</v>
      </c>
      <c r="B21" s="5">
        <v>78</v>
      </c>
      <c r="C21" s="5">
        <v>99</v>
      </c>
      <c r="D21" s="5">
        <v>76</v>
      </c>
      <c r="E21" s="5">
        <v>68</v>
      </c>
      <c r="F21" s="5">
        <v>54</v>
      </c>
      <c r="G21" s="5">
        <v>122</v>
      </c>
      <c r="H21" s="5">
        <v>375</v>
      </c>
      <c r="I21" s="7">
        <v>76</v>
      </c>
      <c r="J21" s="7">
        <v>95</v>
      </c>
      <c r="K21" s="7">
        <v>77</v>
      </c>
      <c r="L21" s="7">
        <v>62</v>
      </c>
      <c r="M21" s="7">
        <v>30</v>
      </c>
      <c r="N21" s="7">
        <v>92</v>
      </c>
      <c r="O21" s="7">
        <v>340</v>
      </c>
      <c r="P21" s="7">
        <v>82</v>
      </c>
      <c r="Q21" s="7">
        <v>74</v>
      </c>
      <c r="R21" s="7">
        <v>78</v>
      </c>
      <c r="S21" s="7">
        <v>84</v>
      </c>
      <c r="T21" s="7">
        <v>32</v>
      </c>
      <c r="U21" s="7">
        <v>116</v>
      </c>
      <c r="V21" s="8">
        <v>350</v>
      </c>
      <c r="W21" s="7">
        <v>78</v>
      </c>
      <c r="X21" s="7">
        <v>93</v>
      </c>
      <c r="Y21" s="7">
        <v>71</v>
      </c>
      <c r="Z21" s="7">
        <v>66</v>
      </c>
      <c r="AA21" s="7">
        <v>32</v>
      </c>
      <c r="AB21" s="7">
        <v>98</v>
      </c>
      <c r="AC21" s="7">
        <v>340</v>
      </c>
    </row>
    <row r="22" spans="1:29" ht="17.5" x14ac:dyDescent="0.25">
      <c r="A22" s="5" t="s">
        <v>503</v>
      </c>
      <c r="B22" s="5">
        <v>48</v>
      </c>
      <c r="C22" s="5">
        <v>92</v>
      </c>
      <c r="D22" s="5">
        <v>30</v>
      </c>
      <c r="E22" s="5">
        <v>62</v>
      </c>
      <c r="F22" s="5">
        <v>54</v>
      </c>
      <c r="G22" s="5">
        <v>116</v>
      </c>
      <c r="H22" s="5">
        <v>286</v>
      </c>
      <c r="I22" s="7">
        <v>58</v>
      </c>
      <c r="J22" s="7">
        <v>80</v>
      </c>
      <c r="K22" s="7">
        <v>43</v>
      </c>
      <c r="L22" s="7">
        <v>70</v>
      </c>
      <c r="M22" s="7">
        <v>40</v>
      </c>
      <c r="N22" s="7">
        <v>110</v>
      </c>
      <c r="O22" s="7">
        <v>291</v>
      </c>
      <c r="P22" s="7">
        <v>44</v>
      </c>
      <c r="Q22" s="7">
        <v>65</v>
      </c>
      <c r="R22" s="7">
        <v>37</v>
      </c>
      <c r="S22" s="7">
        <v>78</v>
      </c>
      <c r="T22" s="7">
        <v>46</v>
      </c>
      <c r="U22" s="7">
        <v>124</v>
      </c>
      <c r="V22" s="8">
        <v>270</v>
      </c>
      <c r="W22" s="7">
        <v>66</v>
      </c>
      <c r="X22" s="7">
        <v>86</v>
      </c>
      <c r="Y22" s="7">
        <v>46</v>
      </c>
      <c r="Z22" s="7">
        <v>32</v>
      </c>
      <c r="AA22" s="7">
        <v>27</v>
      </c>
      <c r="AB22" s="7">
        <v>59</v>
      </c>
      <c r="AC22" s="7">
        <v>257</v>
      </c>
    </row>
    <row r="23" spans="1:29" ht="17.5" x14ac:dyDescent="0.25">
      <c r="A23" s="5" t="s">
        <v>504</v>
      </c>
      <c r="B23" s="5">
        <v>82</v>
      </c>
      <c r="C23" s="5">
        <v>78</v>
      </c>
      <c r="D23" s="5">
        <v>86</v>
      </c>
      <c r="E23" s="5">
        <v>80</v>
      </c>
      <c r="F23" s="5">
        <v>51</v>
      </c>
      <c r="G23" s="5">
        <v>131</v>
      </c>
      <c r="H23" s="5">
        <v>377</v>
      </c>
      <c r="I23" s="7">
        <v>72</v>
      </c>
      <c r="J23" s="7">
        <v>92</v>
      </c>
      <c r="K23" s="7">
        <v>82</v>
      </c>
      <c r="L23" s="7">
        <v>72</v>
      </c>
      <c r="M23" s="7">
        <v>38</v>
      </c>
      <c r="N23" s="7">
        <v>110</v>
      </c>
      <c r="O23" s="7">
        <v>356</v>
      </c>
      <c r="P23" s="7">
        <v>72</v>
      </c>
      <c r="Q23" s="7">
        <v>72</v>
      </c>
      <c r="R23" s="7">
        <v>61</v>
      </c>
      <c r="S23" s="7">
        <v>56</v>
      </c>
      <c r="T23" s="7">
        <v>29</v>
      </c>
      <c r="U23" s="7">
        <v>85</v>
      </c>
      <c r="V23" s="8">
        <v>290</v>
      </c>
      <c r="W23" s="7">
        <v>84</v>
      </c>
      <c r="X23" s="7">
        <v>90</v>
      </c>
      <c r="Y23" s="7">
        <v>69</v>
      </c>
      <c r="Z23" s="7">
        <v>66</v>
      </c>
      <c r="AA23" s="7">
        <v>27</v>
      </c>
      <c r="AB23" s="7">
        <v>93</v>
      </c>
      <c r="AC23" s="7">
        <v>336</v>
      </c>
    </row>
    <row r="24" spans="1:29" ht="17.5" x14ac:dyDescent="0.25">
      <c r="A24" s="5" t="s">
        <v>505</v>
      </c>
      <c r="B24" s="5">
        <v>70</v>
      </c>
      <c r="C24" s="5">
        <v>90</v>
      </c>
      <c r="D24" s="5">
        <v>38</v>
      </c>
      <c r="E24" s="5">
        <v>50</v>
      </c>
      <c r="F24" s="5">
        <v>48</v>
      </c>
      <c r="G24" s="5">
        <v>98</v>
      </c>
      <c r="H24" s="5">
        <v>296</v>
      </c>
      <c r="I24" s="7">
        <v>74</v>
      </c>
      <c r="J24" s="7">
        <v>88</v>
      </c>
      <c r="K24" s="7">
        <v>73</v>
      </c>
      <c r="L24" s="7">
        <v>74</v>
      </c>
      <c r="M24" s="7">
        <v>49</v>
      </c>
      <c r="N24" s="7">
        <v>123</v>
      </c>
      <c r="O24" s="7">
        <v>358</v>
      </c>
      <c r="P24" s="7">
        <v>70</v>
      </c>
      <c r="Q24" s="7">
        <v>84</v>
      </c>
      <c r="R24" s="7">
        <v>72</v>
      </c>
      <c r="S24" s="7">
        <v>72</v>
      </c>
      <c r="T24" s="7">
        <v>52</v>
      </c>
      <c r="U24" s="7">
        <v>124</v>
      </c>
      <c r="V24" s="8">
        <v>350</v>
      </c>
      <c r="W24" s="7">
        <v>76</v>
      </c>
      <c r="X24" s="7">
        <v>88</v>
      </c>
      <c r="Y24" s="7">
        <v>58</v>
      </c>
      <c r="Z24" s="7">
        <v>70</v>
      </c>
      <c r="AA24" s="7">
        <v>55</v>
      </c>
      <c r="AB24" s="7">
        <v>125</v>
      </c>
      <c r="AC24" s="7">
        <v>347</v>
      </c>
    </row>
    <row r="25" spans="1:29" ht="17.5" x14ac:dyDescent="0.25">
      <c r="A25" s="5" t="s">
        <v>506</v>
      </c>
      <c r="B25" s="5">
        <v>86</v>
      </c>
      <c r="C25" s="5">
        <v>89</v>
      </c>
      <c r="D25" s="5">
        <v>64</v>
      </c>
      <c r="E25" s="5">
        <v>72</v>
      </c>
      <c r="F25" s="5">
        <v>46</v>
      </c>
      <c r="G25" s="5">
        <v>118</v>
      </c>
      <c r="H25" s="5">
        <v>357</v>
      </c>
      <c r="I25" s="7">
        <v>70</v>
      </c>
      <c r="J25" s="7">
        <v>99</v>
      </c>
      <c r="K25" s="7">
        <v>65</v>
      </c>
      <c r="L25" s="7">
        <v>54</v>
      </c>
      <c r="M25" s="7">
        <v>35</v>
      </c>
      <c r="N25" s="7">
        <v>89</v>
      </c>
      <c r="O25" s="7">
        <v>323</v>
      </c>
      <c r="P25" s="7">
        <v>72</v>
      </c>
      <c r="Q25" s="7">
        <v>95</v>
      </c>
      <c r="R25" s="7">
        <v>69</v>
      </c>
      <c r="S25" s="7">
        <v>68</v>
      </c>
      <c r="T25" s="7">
        <v>38</v>
      </c>
      <c r="U25" s="7">
        <v>106</v>
      </c>
      <c r="V25" s="8">
        <v>342</v>
      </c>
      <c r="W25" s="7">
        <v>90</v>
      </c>
      <c r="X25" s="7">
        <v>92</v>
      </c>
      <c r="Y25" s="7">
        <v>71</v>
      </c>
      <c r="Z25" s="7">
        <v>66</v>
      </c>
      <c r="AA25" s="7">
        <v>46</v>
      </c>
      <c r="AB25" s="7">
        <v>112</v>
      </c>
      <c r="AC25" s="7">
        <v>365</v>
      </c>
    </row>
    <row r="26" spans="1:29" ht="17.5" x14ac:dyDescent="0.25">
      <c r="A26" s="5" t="s">
        <v>507</v>
      </c>
      <c r="B26" s="5">
        <v>62</v>
      </c>
      <c r="C26" s="5">
        <v>80</v>
      </c>
      <c r="D26" s="5">
        <v>72</v>
      </c>
      <c r="E26" s="5">
        <v>68</v>
      </c>
      <c r="F26" s="5">
        <v>34</v>
      </c>
      <c r="G26" s="5">
        <v>102</v>
      </c>
      <c r="H26" s="5">
        <v>316</v>
      </c>
      <c r="I26" s="7">
        <v>70</v>
      </c>
      <c r="J26" s="7">
        <v>89</v>
      </c>
      <c r="K26" s="7">
        <v>65</v>
      </c>
      <c r="L26" s="7">
        <v>62</v>
      </c>
      <c r="M26" s="7">
        <v>26</v>
      </c>
      <c r="N26" s="7">
        <v>88</v>
      </c>
      <c r="O26" s="7">
        <v>312</v>
      </c>
      <c r="P26" s="7">
        <v>64</v>
      </c>
      <c r="Q26" s="7">
        <v>87</v>
      </c>
      <c r="R26" s="7">
        <v>72</v>
      </c>
      <c r="S26" s="7">
        <v>56</v>
      </c>
      <c r="T26" s="7">
        <v>37</v>
      </c>
      <c r="U26" s="7">
        <v>93</v>
      </c>
      <c r="V26" s="8">
        <v>316</v>
      </c>
      <c r="W26" s="7">
        <v>72</v>
      </c>
      <c r="X26" s="7">
        <v>87</v>
      </c>
      <c r="Y26" s="7">
        <v>67</v>
      </c>
      <c r="Z26" s="7">
        <v>64</v>
      </c>
      <c r="AA26" s="7">
        <v>21</v>
      </c>
      <c r="AB26" s="7">
        <v>85</v>
      </c>
      <c r="AC26" s="7">
        <v>311</v>
      </c>
    </row>
    <row r="27" spans="1:29" ht="17.5" x14ac:dyDescent="0.25">
      <c r="A27" s="5" t="s">
        <v>508</v>
      </c>
      <c r="B27" s="5">
        <v>86</v>
      </c>
      <c r="C27" s="5">
        <v>58</v>
      </c>
      <c r="D27" s="5">
        <v>83</v>
      </c>
      <c r="E27" s="5">
        <v>64</v>
      </c>
      <c r="F27" s="5">
        <v>38</v>
      </c>
      <c r="G27" s="5">
        <v>102</v>
      </c>
      <c r="H27" s="5">
        <v>329</v>
      </c>
      <c r="I27" s="7">
        <v>82</v>
      </c>
      <c r="J27" s="7">
        <v>75</v>
      </c>
      <c r="K27" s="7">
        <v>85</v>
      </c>
      <c r="L27" s="7">
        <v>80</v>
      </c>
      <c r="M27" s="7">
        <v>33</v>
      </c>
      <c r="N27" s="7">
        <v>113</v>
      </c>
      <c r="O27" s="7">
        <v>355</v>
      </c>
      <c r="P27" s="7">
        <v>78</v>
      </c>
      <c r="Q27" s="7">
        <v>77</v>
      </c>
      <c r="R27" s="7">
        <v>79</v>
      </c>
      <c r="S27" s="7">
        <v>78</v>
      </c>
      <c r="T27" s="7">
        <v>30</v>
      </c>
      <c r="U27" s="7">
        <v>108</v>
      </c>
      <c r="V27" s="8">
        <v>342</v>
      </c>
      <c r="W27" s="7">
        <v>84</v>
      </c>
      <c r="X27" s="7">
        <v>90</v>
      </c>
      <c r="Y27" s="7">
        <v>75</v>
      </c>
      <c r="Z27" s="7">
        <v>58</v>
      </c>
      <c r="AA27" s="7">
        <v>26</v>
      </c>
      <c r="AB27" s="7">
        <v>84</v>
      </c>
      <c r="AC27" s="7">
        <v>333</v>
      </c>
    </row>
    <row r="28" spans="1:29" ht="17.5" x14ac:dyDescent="0.25">
      <c r="A28" s="5" t="s">
        <v>509</v>
      </c>
      <c r="B28" s="5">
        <v>82</v>
      </c>
      <c r="C28" s="5">
        <v>97</v>
      </c>
      <c r="D28" s="5">
        <v>96</v>
      </c>
      <c r="E28" s="5">
        <v>60</v>
      </c>
      <c r="F28" s="5">
        <v>57</v>
      </c>
      <c r="G28" s="5">
        <v>117</v>
      </c>
      <c r="H28" s="5">
        <v>392</v>
      </c>
      <c r="I28" s="7">
        <v>76</v>
      </c>
      <c r="J28" s="7">
        <v>94</v>
      </c>
      <c r="K28" s="7">
        <v>94</v>
      </c>
      <c r="L28" s="7">
        <v>70</v>
      </c>
      <c r="M28" s="7">
        <v>36</v>
      </c>
      <c r="N28" s="7">
        <v>106</v>
      </c>
      <c r="O28" s="7">
        <v>370</v>
      </c>
      <c r="P28" s="7"/>
      <c r="Q28" s="7"/>
      <c r="R28" s="7"/>
      <c r="S28" s="7"/>
      <c r="T28" s="7"/>
      <c r="U28" s="7"/>
      <c r="V28" s="8"/>
      <c r="W28" s="7">
        <v>86</v>
      </c>
      <c r="X28" s="7">
        <v>85</v>
      </c>
      <c r="Y28" s="7">
        <v>94</v>
      </c>
      <c r="Z28" s="7">
        <v>70</v>
      </c>
      <c r="AA28" s="7">
        <v>27</v>
      </c>
      <c r="AB28" s="7">
        <v>97</v>
      </c>
      <c r="AC28" s="7">
        <v>362</v>
      </c>
    </row>
    <row r="29" spans="1:29" ht="17.5" x14ac:dyDescent="0.25">
      <c r="A29" s="5" t="s">
        <v>510</v>
      </c>
      <c r="B29" s="5"/>
      <c r="C29" s="5"/>
      <c r="D29" s="5"/>
      <c r="E29" s="5"/>
      <c r="F29" s="5"/>
      <c r="G29" s="5"/>
      <c r="H29" s="5"/>
      <c r="I29" s="7">
        <v>64</v>
      </c>
      <c r="J29" s="7">
        <v>72</v>
      </c>
      <c r="K29" s="7">
        <v>88</v>
      </c>
      <c r="L29" s="7">
        <v>80</v>
      </c>
      <c r="M29" s="7">
        <v>30</v>
      </c>
      <c r="N29" s="7">
        <v>110</v>
      </c>
      <c r="O29" s="7">
        <v>334</v>
      </c>
      <c r="P29" s="7"/>
      <c r="Q29" s="7"/>
      <c r="R29" s="7"/>
      <c r="S29" s="7"/>
      <c r="T29" s="7"/>
      <c r="U29" s="7"/>
      <c r="V29" s="8"/>
      <c r="W29" s="7"/>
      <c r="X29" s="7"/>
      <c r="Y29" s="7"/>
      <c r="Z29" s="7"/>
      <c r="AA29" s="7"/>
      <c r="AB29" s="7"/>
      <c r="AC29" s="7"/>
    </row>
    <row r="30" spans="1:29" ht="17.5" x14ac:dyDescent="0.25">
      <c r="A30" s="5" t="s">
        <v>511</v>
      </c>
      <c r="B30" s="5"/>
      <c r="C30" s="5"/>
      <c r="D30" s="5"/>
      <c r="E30" s="5"/>
      <c r="F30" s="5"/>
      <c r="G30" s="5"/>
      <c r="H30" s="5"/>
      <c r="I30" s="7">
        <v>50</v>
      </c>
      <c r="J30" s="7">
        <v>72</v>
      </c>
      <c r="K30" s="7">
        <v>50</v>
      </c>
      <c r="L30" s="7">
        <v>46</v>
      </c>
      <c r="M30" s="7">
        <v>12</v>
      </c>
      <c r="N30" s="7">
        <v>58</v>
      </c>
      <c r="O30" s="7">
        <v>230</v>
      </c>
      <c r="P30" s="7">
        <v>58</v>
      </c>
      <c r="Q30" s="7">
        <v>68</v>
      </c>
      <c r="R30" s="7">
        <v>66</v>
      </c>
      <c r="S30" s="7">
        <v>62</v>
      </c>
      <c r="T30" s="7">
        <v>30</v>
      </c>
      <c r="U30" s="7">
        <v>92</v>
      </c>
      <c r="V30" s="8">
        <v>284</v>
      </c>
      <c r="W30" s="7">
        <v>76</v>
      </c>
      <c r="X30" s="7">
        <v>78</v>
      </c>
      <c r="Y30" s="7">
        <v>68</v>
      </c>
      <c r="Z30" s="7">
        <v>58</v>
      </c>
      <c r="AA30" s="7">
        <v>24</v>
      </c>
      <c r="AB30" s="7">
        <v>82</v>
      </c>
      <c r="AC30" s="7">
        <v>304</v>
      </c>
    </row>
    <row r="31" spans="1:29" ht="17.5" x14ac:dyDescent="0.25">
      <c r="A31" s="5" t="s">
        <v>512</v>
      </c>
      <c r="B31" s="5">
        <v>80</v>
      </c>
      <c r="C31" s="5">
        <v>55</v>
      </c>
      <c r="D31" s="5">
        <v>72</v>
      </c>
      <c r="E31" s="5">
        <v>52</v>
      </c>
      <c r="F31" s="5">
        <v>41</v>
      </c>
      <c r="G31" s="5">
        <v>93</v>
      </c>
      <c r="H31" s="5">
        <v>300</v>
      </c>
      <c r="I31" s="7">
        <v>70</v>
      </c>
      <c r="J31" s="7">
        <v>79</v>
      </c>
      <c r="K31" s="7">
        <v>76</v>
      </c>
      <c r="L31" s="7">
        <v>68</v>
      </c>
      <c r="M31" s="7">
        <v>24</v>
      </c>
      <c r="N31" s="7">
        <v>92</v>
      </c>
      <c r="O31" s="7">
        <v>317</v>
      </c>
      <c r="P31" s="7"/>
      <c r="Q31" s="7"/>
      <c r="R31" s="7"/>
      <c r="S31" s="7"/>
      <c r="T31" s="7"/>
      <c r="U31" s="7"/>
      <c r="V31" s="8"/>
      <c r="W31" s="7">
        <v>80</v>
      </c>
      <c r="X31" s="7">
        <v>70</v>
      </c>
      <c r="Y31" s="7">
        <v>57</v>
      </c>
      <c r="Z31" s="7">
        <v>56</v>
      </c>
      <c r="AA31" s="7">
        <v>38</v>
      </c>
      <c r="AB31" s="7">
        <v>94</v>
      </c>
      <c r="AC31" s="7">
        <v>301</v>
      </c>
    </row>
    <row r="32" spans="1:29" ht="17.5" x14ac:dyDescent="0.25">
      <c r="A32" s="5" t="s">
        <v>513</v>
      </c>
      <c r="B32" s="5">
        <v>76</v>
      </c>
      <c r="C32" s="5">
        <v>86</v>
      </c>
      <c r="D32" s="5">
        <v>86</v>
      </c>
      <c r="E32" s="5">
        <v>84</v>
      </c>
      <c r="F32" s="5">
        <v>57</v>
      </c>
      <c r="G32" s="5">
        <v>141</v>
      </c>
      <c r="H32" s="5">
        <v>389</v>
      </c>
      <c r="I32" s="7">
        <v>70</v>
      </c>
      <c r="J32" s="7">
        <v>94</v>
      </c>
      <c r="K32" s="7">
        <v>84</v>
      </c>
      <c r="L32" s="7">
        <v>60</v>
      </c>
      <c r="M32" s="7">
        <v>32</v>
      </c>
      <c r="N32" s="7">
        <v>92</v>
      </c>
      <c r="O32" s="7">
        <v>340</v>
      </c>
      <c r="P32" s="7">
        <v>90</v>
      </c>
      <c r="Q32" s="7">
        <v>76</v>
      </c>
      <c r="R32" s="7">
        <v>90</v>
      </c>
      <c r="S32" s="7">
        <v>62</v>
      </c>
      <c r="T32" s="7">
        <v>39</v>
      </c>
      <c r="U32" s="7">
        <v>101</v>
      </c>
      <c r="V32" s="8">
        <v>357</v>
      </c>
      <c r="W32" s="7">
        <v>80</v>
      </c>
      <c r="X32" s="7">
        <v>96</v>
      </c>
      <c r="Y32" s="7">
        <v>85</v>
      </c>
      <c r="Z32" s="7">
        <v>68</v>
      </c>
      <c r="AA32" s="7">
        <v>36</v>
      </c>
      <c r="AB32" s="7">
        <v>104</v>
      </c>
      <c r="AC32" s="7">
        <v>365</v>
      </c>
    </row>
    <row r="33" spans="1:29" ht="17.5" x14ac:dyDescent="0.25">
      <c r="A33" s="5" t="s">
        <v>514</v>
      </c>
      <c r="B33" s="5">
        <v>78</v>
      </c>
      <c r="C33" s="5">
        <v>69</v>
      </c>
      <c r="D33" s="5">
        <v>82</v>
      </c>
      <c r="E33" s="5">
        <v>64</v>
      </c>
      <c r="F33" s="5">
        <v>54</v>
      </c>
      <c r="G33" s="5">
        <v>118</v>
      </c>
      <c r="H33" s="5">
        <v>347</v>
      </c>
      <c r="I33" s="7">
        <v>64</v>
      </c>
      <c r="J33" s="7">
        <v>87</v>
      </c>
      <c r="K33" s="7">
        <v>88</v>
      </c>
      <c r="L33" s="7">
        <v>80</v>
      </c>
      <c r="M33" s="7">
        <v>43</v>
      </c>
      <c r="N33" s="7">
        <v>123</v>
      </c>
      <c r="O33" s="7">
        <v>362</v>
      </c>
      <c r="P33" s="7">
        <v>74</v>
      </c>
      <c r="Q33" s="7">
        <v>70</v>
      </c>
      <c r="R33" s="7">
        <v>82</v>
      </c>
      <c r="S33" s="7">
        <v>82</v>
      </c>
      <c r="T33" s="7">
        <v>44</v>
      </c>
      <c r="U33" s="7">
        <v>126</v>
      </c>
      <c r="V33" s="8">
        <v>352</v>
      </c>
      <c r="W33" s="7">
        <v>80</v>
      </c>
      <c r="X33" s="7">
        <v>94</v>
      </c>
      <c r="Y33" s="7">
        <v>84</v>
      </c>
      <c r="Z33" s="7">
        <v>70</v>
      </c>
      <c r="AA33" s="7">
        <v>39</v>
      </c>
      <c r="AB33" s="7">
        <v>109</v>
      </c>
      <c r="AC33" s="7">
        <v>367</v>
      </c>
    </row>
    <row r="34" spans="1:29" ht="17.5" x14ac:dyDescent="0.25">
      <c r="A34" s="5" t="s">
        <v>515</v>
      </c>
      <c r="B34" s="5">
        <v>88</v>
      </c>
      <c r="C34" s="5">
        <v>87</v>
      </c>
      <c r="D34" s="5">
        <v>89</v>
      </c>
      <c r="E34" s="5">
        <v>58</v>
      </c>
      <c r="F34" s="5">
        <v>54</v>
      </c>
      <c r="G34" s="5">
        <v>112</v>
      </c>
      <c r="H34" s="5">
        <v>376</v>
      </c>
      <c r="I34" s="7">
        <v>80</v>
      </c>
      <c r="J34" s="7">
        <v>74</v>
      </c>
      <c r="K34" s="7">
        <v>90</v>
      </c>
      <c r="L34" s="7">
        <v>78</v>
      </c>
      <c r="M34" s="7">
        <v>44</v>
      </c>
      <c r="N34" s="7">
        <v>122</v>
      </c>
      <c r="O34" s="7">
        <v>366</v>
      </c>
      <c r="P34" s="7">
        <v>86</v>
      </c>
      <c r="Q34" s="7">
        <v>77</v>
      </c>
      <c r="R34" s="7">
        <v>77</v>
      </c>
      <c r="S34" s="7">
        <v>74</v>
      </c>
      <c r="T34" s="7">
        <v>40</v>
      </c>
      <c r="U34" s="7">
        <v>114</v>
      </c>
      <c r="V34" s="8">
        <v>354</v>
      </c>
      <c r="W34" s="7">
        <v>84</v>
      </c>
      <c r="X34" s="7">
        <v>81</v>
      </c>
      <c r="Y34" s="7">
        <v>86</v>
      </c>
      <c r="Z34" s="7">
        <v>70</v>
      </c>
      <c r="AA34" s="7">
        <v>39</v>
      </c>
      <c r="AB34" s="7">
        <v>109</v>
      </c>
      <c r="AC34" s="7">
        <v>360</v>
      </c>
    </row>
    <row r="35" spans="1:29" ht="17.5" x14ac:dyDescent="0.25">
      <c r="A35" s="5" t="s">
        <v>516</v>
      </c>
      <c r="B35" s="5">
        <v>88</v>
      </c>
      <c r="C35" s="5">
        <v>84</v>
      </c>
      <c r="D35" s="5">
        <v>81</v>
      </c>
      <c r="E35" s="5">
        <v>58</v>
      </c>
      <c r="F35" s="5">
        <v>54</v>
      </c>
      <c r="G35" s="5">
        <v>112</v>
      </c>
      <c r="H35" s="5">
        <v>365</v>
      </c>
      <c r="I35" s="7">
        <v>80</v>
      </c>
      <c r="J35" s="7">
        <v>74</v>
      </c>
      <c r="K35" s="7">
        <v>92</v>
      </c>
      <c r="L35" s="7">
        <v>78</v>
      </c>
      <c r="M35" s="7">
        <v>44</v>
      </c>
      <c r="N35" s="7">
        <v>122</v>
      </c>
      <c r="O35" s="7">
        <v>368</v>
      </c>
      <c r="P35" s="7">
        <v>94</v>
      </c>
      <c r="Q35" s="7">
        <v>81</v>
      </c>
      <c r="R35" s="7">
        <v>77</v>
      </c>
      <c r="S35" s="7">
        <v>78</v>
      </c>
      <c r="T35" s="7">
        <v>38</v>
      </c>
      <c r="U35" s="7">
        <v>116</v>
      </c>
      <c r="V35" s="8">
        <v>368</v>
      </c>
      <c r="W35" s="7">
        <v>90</v>
      </c>
      <c r="X35" s="7">
        <v>73</v>
      </c>
      <c r="Y35" s="7">
        <v>89</v>
      </c>
      <c r="Z35" s="7">
        <v>70</v>
      </c>
      <c r="AA35" s="7">
        <v>36</v>
      </c>
      <c r="AB35" s="7">
        <v>106</v>
      </c>
      <c r="AC35" s="7">
        <v>358</v>
      </c>
    </row>
    <row r="36" spans="1:29" ht="17.5" x14ac:dyDescent="0.25">
      <c r="A36" s="5" t="s">
        <v>517</v>
      </c>
      <c r="B36" s="5">
        <v>88</v>
      </c>
      <c r="C36" s="5">
        <v>77</v>
      </c>
      <c r="D36" s="5">
        <v>76</v>
      </c>
      <c r="E36" s="5">
        <v>58</v>
      </c>
      <c r="F36" s="5">
        <v>46</v>
      </c>
      <c r="G36" s="5">
        <v>104</v>
      </c>
      <c r="H36" s="5">
        <v>345</v>
      </c>
      <c r="I36" s="7">
        <v>74</v>
      </c>
      <c r="J36" s="7">
        <v>84</v>
      </c>
      <c r="K36" s="7">
        <v>84</v>
      </c>
      <c r="L36" s="7">
        <v>78</v>
      </c>
      <c r="M36" s="7">
        <v>44</v>
      </c>
      <c r="N36" s="7">
        <v>122</v>
      </c>
      <c r="O36" s="7">
        <v>364</v>
      </c>
      <c r="P36" s="7">
        <v>72</v>
      </c>
      <c r="Q36" s="7">
        <v>66</v>
      </c>
      <c r="R36" s="7">
        <v>63</v>
      </c>
      <c r="S36" s="7">
        <v>66</v>
      </c>
      <c r="T36" s="7">
        <v>32</v>
      </c>
      <c r="U36" s="7">
        <v>98</v>
      </c>
      <c r="V36" s="8">
        <v>299</v>
      </c>
      <c r="W36" s="7">
        <v>72</v>
      </c>
      <c r="X36" s="7">
        <v>79</v>
      </c>
      <c r="Y36" s="7">
        <v>85</v>
      </c>
      <c r="Z36" s="7">
        <v>64</v>
      </c>
      <c r="AA36" s="7">
        <v>24</v>
      </c>
      <c r="AB36" s="7">
        <v>88</v>
      </c>
      <c r="AC36" s="7">
        <v>324</v>
      </c>
    </row>
    <row r="37" spans="1:29" ht="17.5" x14ac:dyDescent="0.25">
      <c r="A37" s="5" t="s">
        <v>518</v>
      </c>
      <c r="B37" s="5">
        <v>62</v>
      </c>
      <c r="C37" s="5">
        <v>59</v>
      </c>
      <c r="D37" s="5">
        <v>32</v>
      </c>
      <c r="E37" s="5">
        <v>58</v>
      </c>
      <c r="F37" s="5">
        <v>43</v>
      </c>
      <c r="G37" s="5">
        <v>101</v>
      </c>
      <c r="H37" s="5">
        <v>254</v>
      </c>
      <c r="I37" s="7">
        <v>62</v>
      </c>
      <c r="J37" s="7">
        <v>52</v>
      </c>
      <c r="K37" s="7">
        <v>35</v>
      </c>
      <c r="L37" s="7">
        <v>56</v>
      </c>
      <c r="M37" s="7">
        <v>18</v>
      </c>
      <c r="N37" s="7">
        <v>74</v>
      </c>
      <c r="O37" s="7">
        <v>223</v>
      </c>
      <c r="P37" s="7">
        <v>58</v>
      </c>
      <c r="Q37" s="7">
        <v>52</v>
      </c>
      <c r="R37" s="7">
        <v>35</v>
      </c>
      <c r="S37" s="7">
        <v>62</v>
      </c>
      <c r="T37" s="7">
        <v>35</v>
      </c>
      <c r="U37" s="7">
        <v>97</v>
      </c>
      <c r="V37" s="8">
        <v>242</v>
      </c>
      <c r="W37" s="7">
        <v>72</v>
      </c>
      <c r="X37" s="7">
        <v>85</v>
      </c>
      <c r="Y37" s="7">
        <v>38</v>
      </c>
      <c r="Z37" s="7">
        <v>56</v>
      </c>
      <c r="AA37" s="7">
        <v>27</v>
      </c>
      <c r="AB37" s="7">
        <v>83</v>
      </c>
      <c r="AC37" s="7">
        <v>278</v>
      </c>
    </row>
    <row r="38" spans="1:29" ht="17.5" x14ac:dyDescent="0.25">
      <c r="A38" s="5" t="s">
        <v>519</v>
      </c>
      <c r="B38" s="5">
        <v>88</v>
      </c>
      <c r="C38" s="5">
        <v>89</v>
      </c>
      <c r="D38" s="5">
        <v>86</v>
      </c>
      <c r="E38" s="5">
        <v>60</v>
      </c>
      <c r="F38" s="5">
        <v>46</v>
      </c>
      <c r="G38" s="5">
        <v>106</v>
      </c>
      <c r="H38" s="5">
        <v>369</v>
      </c>
      <c r="I38" s="7">
        <v>86</v>
      </c>
      <c r="J38" s="7">
        <v>88</v>
      </c>
      <c r="K38" s="7">
        <v>86</v>
      </c>
      <c r="L38" s="7">
        <v>68</v>
      </c>
      <c r="M38" s="7">
        <v>30</v>
      </c>
      <c r="N38" s="7">
        <v>98</v>
      </c>
      <c r="O38" s="7">
        <v>358</v>
      </c>
      <c r="P38" s="7">
        <v>90</v>
      </c>
      <c r="Q38" s="7">
        <v>88</v>
      </c>
      <c r="R38" s="7">
        <v>86</v>
      </c>
      <c r="S38" s="7">
        <v>74</v>
      </c>
      <c r="T38" s="7">
        <v>47</v>
      </c>
      <c r="U38" s="7">
        <v>121</v>
      </c>
      <c r="V38" s="8">
        <v>385</v>
      </c>
      <c r="W38" s="7">
        <v>94</v>
      </c>
      <c r="X38" s="7">
        <v>77</v>
      </c>
      <c r="Y38" s="7">
        <v>80</v>
      </c>
      <c r="Z38" s="7">
        <v>70</v>
      </c>
      <c r="AA38" s="7">
        <v>24</v>
      </c>
      <c r="AB38" s="7">
        <v>94</v>
      </c>
      <c r="AC38" s="7">
        <v>345</v>
      </c>
    </row>
    <row r="39" spans="1:29" ht="17.5" x14ac:dyDescent="0.25">
      <c r="A39" s="5" t="s">
        <v>520</v>
      </c>
      <c r="B39" s="5"/>
      <c r="C39" s="5"/>
      <c r="D39" s="5"/>
      <c r="E39" s="5"/>
      <c r="F39" s="5"/>
      <c r="G39" s="5"/>
      <c r="H39" s="5"/>
      <c r="I39" s="7">
        <v>54</v>
      </c>
      <c r="J39" s="7">
        <v>93</v>
      </c>
      <c r="K39" s="7">
        <v>77</v>
      </c>
      <c r="L39" s="7">
        <v>60</v>
      </c>
      <c r="M39" s="7">
        <v>32</v>
      </c>
      <c r="N39" s="7">
        <v>92</v>
      </c>
      <c r="O39" s="7">
        <v>316</v>
      </c>
      <c r="P39" s="7">
        <v>70</v>
      </c>
      <c r="Q39" s="7">
        <v>78</v>
      </c>
      <c r="R39" s="7">
        <v>75</v>
      </c>
      <c r="S39" s="7">
        <v>60</v>
      </c>
      <c r="T39" s="7">
        <v>30</v>
      </c>
      <c r="U39" s="7">
        <v>90</v>
      </c>
      <c r="V39" s="8">
        <v>313</v>
      </c>
      <c r="W39" s="7">
        <v>70</v>
      </c>
      <c r="X39" s="7">
        <v>81</v>
      </c>
      <c r="Y39" s="7">
        <v>66</v>
      </c>
      <c r="Z39" s="7">
        <v>56</v>
      </c>
      <c r="AA39" s="7">
        <v>39</v>
      </c>
      <c r="AB39" s="7">
        <v>95</v>
      </c>
      <c r="AC39" s="7">
        <v>312</v>
      </c>
    </row>
    <row r="40" spans="1:29" ht="17.5" x14ac:dyDescent="0.25">
      <c r="A40" s="5" t="s">
        <v>521</v>
      </c>
      <c r="B40" s="5"/>
      <c r="C40" s="5"/>
      <c r="D40" s="5"/>
      <c r="E40" s="5"/>
      <c r="F40" s="5"/>
      <c r="G40" s="5"/>
      <c r="H40" s="5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8"/>
      <c r="W40" s="7"/>
      <c r="X40" s="7"/>
      <c r="Y40" s="7"/>
      <c r="Z40" s="7"/>
      <c r="AA40" s="7"/>
      <c r="AB40" s="7"/>
      <c r="AC40" s="7"/>
    </row>
    <row r="41" spans="1:29" ht="17.5" x14ac:dyDescent="0.25">
      <c r="A41" s="5" t="s">
        <v>522</v>
      </c>
      <c r="B41" s="5"/>
      <c r="C41" s="5"/>
      <c r="D41" s="5"/>
      <c r="E41" s="5"/>
      <c r="F41" s="5"/>
      <c r="G41" s="5"/>
      <c r="H41" s="5"/>
      <c r="I41" s="7">
        <v>66</v>
      </c>
      <c r="J41" s="7">
        <v>93</v>
      </c>
      <c r="K41" s="7">
        <v>63</v>
      </c>
      <c r="L41" s="7">
        <v>70</v>
      </c>
      <c r="M41" s="7">
        <v>43</v>
      </c>
      <c r="N41" s="7">
        <v>113</v>
      </c>
      <c r="O41" s="7">
        <v>335</v>
      </c>
      <c r="P41" s="7">
        <v>70</v>
      </c>
      <c r="Q41" s="7">
        <v>85</v>
      </c>
      <c r="R41" s="7">
        <v>47</v>
      </c>
      <c r="S41" s="7">
        <v>70</v>
      </c>
      <c r="T41" s="7">
        <v>30</v>
      </c>
      <c r="U41" s="7">
        <v>100</v>
      </c>
      <c r="V41" s="8">
        <v>302</v>
      </c>
      <c r="W41" s="7">
        <v>76</v>
      </c>
      <c r="X41" s="7">
        <v>92</v>
      </c>
      <c r="Y41" s="7">
        <v>62</v>
      </c>
      <c r="Z41" s="7">
        <v>56</v>
      </c>
      <c r="AA41" s="7">
        <v>39</v>
      </c>
      <c r="AB41" s="7">
        <v>95</v>
      </c>
      <c r="AC41" s="7">
        <v>325</v>
      </c>
    </row>
    <row r="42" spans="1:29" ht="17.5" x14ac:dyDescent="0.25">
      <c r="A42" s="5" t="s">
        <v>523</v>
      </c>
      <c r="B42" s="3"/>
      <c r="C42" s="3"/>
      <c r="D42" s="3"/>
      <c r="E42" s="3"/>
      <c r="F42" s="3"/>
      <c r="G42" s="3"/>
      <c r="H42" s="3"/>
      <c r="I42" s="7">
        <v>56</v>
      </c>
      <c r="J42" s="7">
        <v>81</v>
      </c>
      <c r="K42" s="7">
        <v>87</v>
      </c>
      <c r="L42" s="7">
        <v>50</v>
      </c>
      <c r="M42" s="7">
        <v>43</v>
      </c>
      <c r="N42" s="7">
        <v>93</v>
      </c>
      <c r="O42" s="7">
        <v>317</v>
      </c>
      <c r="P42" s="7">
        <v>76</v>
      </c>
      <c r="Q42" s="7">
        <v>74</v>
      </c>
      <c r="R42" s="7">
        <v>89</v>
      </c>
      <c r="S42" s="7">
        <v>58</v>
      </c>
      <c r="T42" s="7">
        <v>30</v>
      </c>
      <c r="U42" s="7">
        <v>88</v>
      </c>
      <c r="V42" s="8">
        <v>327</v>
      </c>
      <c r="W42" s="7">
        <v>80</v>
      </c>
      <c r="X42" s="7">
        <v>86</v>
      </c>
      <c r="Y42" s="7">
        <v>84</v>
      </c>
      <c r="Z42" s="7">
        <v>68</v>
      </c>
      <c r="AA42" s="7">
        <v>23</v>
      </c>
      <c r="AB42" s="7">
        <v>91</v>
      </c>
      <c r="AC42" s="7">
        <v>341</v>
      </c>
    </row>
    <row r="43" spans="1:29" ht="17.5" x14ac:dyDescent="0.25">
      <c r="A43" s="5" t="s">
        <v>524</v>
      </c>
      <c r="B43" s="3"/>
      <c r="C43" s="3"/>
      <c r="D43" s="3"/>
      <c r="E43" s="3"/>
      <c r="F43" s="3"/>
      <c r="G43" s="3"/>
      <c r="H43" s="3"/>
      <c r="I43" s="7">
        <v>84</v>
      </c>
      <c r="J43" s="7">
        <v>64</v>
      </c>
      <c r="K43" s="7">
        <v>53</v>
      </c>
      <c r="L43" s="7">
        <v>70</v>
      </c>
      <c r="M43" s="7">
        <v>40</v>
      </c>
      <c r="N43" s="7">
        <v>110</v>
      </c>
      <c r="O43" s="7">
        <v>311</v>
      </c>
      <c r="P43" s="7">
        <v>88</v>
      </c>
      <c r="Q43" s="7">
        <v>64</v>
      </c>
      <c r="R43" s="7">
        <v>72</v>
      </c>
      <c r="S43" s="7">
        <v>74</v>
      </c>
      <c r="T43" s="7">
        <v>43</v>
      </c>
      <c r="U43" s="7">
        <v>117</v>
      </c>
      <c r="V43" s="8">
        <v>341</v>
      </c>
      <c r="W43" s="7">
        <v>88</v>
      </c>
      <c r="X43" s="7">
        <v>80</v>
      </c>
      <c r="Y43" s="7">
        <v>80</v>
      </c>
      <c r="Z43" s="7">
        <v>70</v>
      </c>
      <c r="AA43" s="7">
        <v>30</v>
      </c>
      <c r="AB43" s="7">
        <v>100</v>
      </c>
      <c r="AC43" s="7">
        <v>348</v>
      </c>
    </row>
    <row r="44" spans="1:29" x14ac:dyDescent="0.25">
      <c r="N44" s="1"/>
    </row>
    <row r="45" spans="1:29" x14ac:dyDescent="0.25">
      <c r="N45" s="1"/>
    </row>
    <row r="46" spans="1:29" x14ac:dyDescent="0.25">
      <c r="N46" s="1"/>
    </row>
    <row r="47" spans="1:29" x14ac:dyDescent="0.25">
      <c r="N47" s="1"/>
    </row>
    <row r="48" spans="1:29" x14ac:dyDescent="0.25">
      <c r="N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</sheetData>
  <sheetProtection formatCells="0" formatColumns="0" formatRows="0" insertColumns="0" insertRows="0" insertHyperlinks="0" deleteColumns="0" deleteRows="0" sort="0" autoFilter="0" pivotTables="0"/>
  <mergeCells count="4">
    <mergeCell ref="P1:V1"/>
    <mergeCell ref="W1:AC1"/>
    <mergeCell ref="B1:H1"/>
    <mergeCell ref="I1:O1"/>
  </mergeCells>
  <phoneticPr fontId="15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ixelators xmlns="https://web.wps.cn/et/2018/main" xmlns:s="http://schemas.openxmlformats.org/spreadsheetml/2006/main">
  <pixelatorList sheetStid="17"/>
  <pixelatorList sheetStid="1"/>
  <pixelatorList sheetStid="2"/>
  <pixelatorList sheetStid="3"/>
  <pixelatorList sheetStid="4"/>
  <pixelatorList sheetStid="5"/>
  <pixelatorList sheetStid="6"/>
  <pixelatorList sheetStid="7"/>
  <pixelatorList sheetStid="8"/>
  <pixelatorList sheetStid="9"/>
  <pixelatorList sheetStid="10"/>
  <pixelatorList sheetStid="11"/>
  <pixelatorList sheetStid="12"/>
  <pixelatorList sheetStid="13"/>
  <pixelatorList sheetStid="14"/>
  <pixelatorList sheetStid="15"/>
  <pixelatorList sheetStid="18"/>
</pixelators>
</file>

<file path=customXml/item2.xml><?xml version="1.0" encoding="utf-8"?>
<autofilters xmlns="https://web.wps.cn/et/2018/main"/>
</file>

<file path=customXml/item3.xml><?xml version="1.0" encoding="utf-8"?>
<woProps xmlns="https://web.wps.cn/et/2018/main" xmlns:s="http://schemas.openxmlformats.org/spreadsheetml/2006/main">
  <woSheetsProps>
    <woSheetProps sheetStid="17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5" interlineOnOff="0" interlineColor="0" isDbSheet="0" isDashBoardSheet="0" isDbDashBoardSheet="0" isFlexPaperSheet="0">
      <cellprotection/>
      <appEtDbRelations/>
    </woSheetProps>
  </woSheetsProps>
  <woBookProps>
    <bookSettings fileId="552420141180" isFilterShared="0" woEtMtcEnabled="0" coreConquerUserId="" isAutoUpdatePaused="0" filterType="user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一类</vt:lpstr>
      <vt:lpstr>二类1</vt:lpstr>
      <vt:lpstr>二类2</vt:lpstr>
      <vt:lpstr>三类1</vt:lpstr>
      <vt:lpstr>三类2</vt:lpstr>
      <vt:lpstr>三类3</vt:lpstr>
      <vt:lpstr>四类1</vt:lpstr>
      <vt:lpstr>四类2</vt:lpstr>
      <vt:lpstr>五类</vt:lpstr>
      <vt:lpstr>六类</vt:lpstr>
      <vt:lpstr>七类</vt:lpstr>
      <vt:lpstr>八类</vt:lpstr>
      <vt:lpstr>九类一</vt:lpstr>
      <vt:lpstr>九类二</vt:lpstr>
      <vt:lpstr>十类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</dc:creator>
  <cp:lastModifiedBy>迪楠 张</cp:lastModifiedBy>
  <dcterms:created xsi:type="dcterms:W3CDTF">2026-10-02T02:10:00Z</dcterms:created>
  <dcterms:modified xsi:type="dcterms:W3CDTF">2026-08-30T04:06:43Z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7CD8A4AB10586BE4A9F97E6A433D3CFA_33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1</vt:i4>
  </property>
</Properties>
</file>