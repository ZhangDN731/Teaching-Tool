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firstSheet="2" activeTab="12"/>
  </bookViews>
  <sheets>
    <sheet name="一类" sheetId="1" r:id="rId1"/>
    <sheet name="二类1" sheetId="2" r:id="rId2"/>
    <sheet name="二类2" sheetId="3" r:id="rId3"/>
    <sheet name="三类1" sheetId="4" r:id="rId4"/>
    <sheet name="三类2" sheetId="5" r:id="rId5"/>
    <sheet name="三类3" sheetId="6" r:id="rId6"/>
    <sheet name="四类1" sheetId="7" r:id="rId7"/>
    <sheet name="四类2" sheetId="8" r:id="rId8"/>
    <sheet name="六类" sheetId="10" r:id="rId9"/>
    <sheet name="八类" sheetId="12" r:id="rId10"/>
    <sheet name="九类一" sheetId="13" r:id="rId11"/>
    <sheet name="九类二" sheetId="14" r:id="rId12"/>
    <sheet name="十类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<sst xmlns="http://schemas.openxmlformats.org/spreadsheetml/2006/main" count="2389" uniqueCount="496">
  <si>
    <t>8.8周测</t>
  </si>
  <si>
    <t>8.15周测</t>
  </si>
  <si>
    <t>8.22周测</t>
  </si>
  <si>
    <t>8.28周测</t>
  </si>
  <si>
    <t>姓名</t>
  </si>
  <si>
    <t>语文</t>
  </si>
  <si>
    <t>数学</t>
  </si>
  <si>
    <t>专业基础</t>
  </si>
  <si>
    <t>职测物理</t>
  </si>
  <si>
    <t>职测地理</t>
  </si>
  <si>
    <t>职测总分</t>
  </si>
  <si>
    <t>总分</t>
  </si>
  <si>
    <t>安一航</t>
  </si>
  <si>
    <t>段家君</t>
  </si>
  <si>
    <t>请假</t>
  </si>
  <si>
    <t>高伟程</t>
  </si>
  <si>
    <t>郭泽宇</t>
  </si>
  <si>
    <t>郭泽昊</t>
  </si>
  <si>
    <t>韩文杰</t>
  </si>
  <si>
    <t>李红阳</t>
  </si>
  <si>
    <t>李金昊</t>
  </si>
  <si>
    <t>连奕程</t>
  </si>
  <si>
    <t>刘福禄</t>
  </si>
  <si>
    <t>吕泽晨</t>
  </si>
  <si>
    <t>彭一鸣</t>
  </si>
  <si>
    <t>秦梓诚</t>
  </si>
  <si>
    <t>任柯霖</t>
  </si>
  <si>
    <t>王佳一</t>
  </si>
  <si>
    <t>王睿诚</t>
  </si>
  <si>
    <t>王泽宇</t>
  </si>
  <si>
    <t>王子航</t>
  </si>
  <si>
    <t>王子帅</t>
  </si>
  <si>
    <t>吴浩尊</t>
  </si>
  <si>
    <t>武彦霖</t>
  </si>
  <si>
    <t>项帝</t>
  </si>
  <si>
    <t>姚心诚</t>
  </si>
  <si>
    <t>张佳硕</t>
  </si>
  <si>
    <t>张嘉谦</t>
  </si>
  <si>
    <t>张阔田</t>
  </si>
  <si>
    <t>朱张晴</t>
  </si>
  <si>
    <t>专业基础（英语）</t>
  </si>
  <si>
    <t>职测化学</t>
  </si>
  <si>
    <r>
      <rPr>
        <sz val="11"/>
        <color rgb="FF000000"/>
        <rFont val="宋体"/>
        <charset val="134"/>
        <scheme val="minor"/>
      </rPr>
      <t>职测物理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（60）</t>
    </r>
  </si>
  <si>
    <t>职测地理（45）</t>
  </si>
  <si>
    <t>职测化学（45）</t>
  </si>
  <si>
    <t>职测总分（150）</t>
  </si>
  <si>
    <t>班兴航</t>
  </si>
  <si>
    <t>曹一萌</t>
  </si>
  <si>
    <t>陈子豪</t>
  </si>
  <si>
    <t>未入学</t>
  </si>
  <si>
    <t>假</t>
  </si>
  <si>
    <t>董佳琦</t>
  </si>
  <si>
    <t>高奥鑫</t>
  </si>
  <si>
    <t>韩紫怡</t>
  </si>
  <si>
    <t>金楷</t>
  </si>
  <si>
    <t>李明瑾</t>
  </si>
  <si>
    <t>李晓源</t>
  </si>
  <si>
    <t>刘桉合</t>
  </si>
  <si>
    <t>刘超</t>
  </si>
  <si>
    <t>刘东朔</t>
  </si>
  <si>
    <t>刘怀泽</t>
  </si>
  <si>
    <t>裴瑞颖</t>
  </si>
  <si>
    <t>宋欣炎</t>
  </si>
  <si>
    <t>王昊宇</t>
  </si>
  <si>
    <t>王佳慧</t>
  </si>
  <si>
    <t>王靖博</t>
  </si>
  <si>
    <t>王文利</t>
  </si>
  <si>
    <t>杨鑫烨</t>
  </si>
  <si>
    <t>缺考</t>
  </si>
  <si>
    <t>赵志赫</t>
  </si>
  <si>
    <t>郑钰涛</t>
  </si>
  <si>
    <t>左梦晞</t>
  </si>
  <si>
    <t>张紫烨</t>
  </si>
  <si>
    <t>英语</t>
  </si>
  <si>
    <t>王楚涵</t>
  </si>
  <si>
    <t>李建辉</t>
  </si>
  <si>
    <t>王程顺</t>
  </si>
  <si>
    <t>孟续彬</t>
  </si>
  <si>
    <t>赵家宁</t>
  </si>
  <si>
    <t>房昊杨</t>
  </si>
  <si>
    <t>张贺翔</t>
  </si>
  <si>
    <t>刘靖哲</t>
  </si>
  <si>
    <t>李俨泽</t>
  </si>
  <si>
    <t>李莉霞</t>
  </si>
  <si>
    <t>薛艳鑫</t>
  </si>
  <si>
    <t>吕昊烨</t>
  </si>
  <si>
    <t>贾桐鑫</t>
  </si>
  <si>
    <t>马雯括</t>
  </si>
  <si>
    <t>刘子烨</t>
  </si>
  <si>
    <t>范金浩</t>
  </si>
  <si>
    <t>孟炜毅</t>
  </si>
  <si>
    <t>李玉巍</t>
  </si>
  <si>
    <t>魏鹏哲</t>
  </si>
  <si>
    <t>李浩宇</t>
  </si>
  <si>
    <t>梁雨琪</t>
  </si>
  <si>
    <t>范博恒</t>
  </si>
  <si>
    <t>黄嘉洋</t>
  </si>
  <si>
    <t>王子健</t>
  </si>
  <si>
    <t>范泽林</t>
  </si>
  <si>
    <t>王梓硕</t>
  </si>
  <si>
    <t>刘宇轩</t>
  </si>
  <si>
    <t>赵浩杨</t>
  </si>
  <si>
    <t>李凯波</t>
  </si>
  <si>
    <t>崔铂强</t>
  </si>
  <si>
    <t>职测政治</t>
  </si>
  <si>
    <t>王旭瑞</t>
  </si>
  <si>
    <t>杜旭阳</t>
  </si>
  <si>
    <t>李恩赐</t>
  </si>
  <si>
    <t>赵钧钦</t>
  </si>
  <si>
    <t>刘晓楠</t>
  </si>
  <si>
    <t>董谨毅</t>
  </si>
  <si>
    <t>孙涵哲</t>
  </si>
  <si>
    <t>杜靖</t>
  </si>
  <si>
    <t>刘晓键</t>
  </si>
  <si>
    <t>罗谢宇</t>
  </si>
  <si>
    <t>张旭</t>
  </si>
  <si>
    <t>段青泽</t>
  </si>
  <si>
    <t>陈佳雨</t>
  </si>
  <si>
    <t>李嘉兴</t>
  </si>
  <si>
    <t>王俊涛</t>
  </si>
  <si>
    <t>门佳轩</t>
  </si>
  <si>
    <t>王海鹏</t>
  </si>
  <si>
    <t>王文博</t>
  </si>
  <si>
    <t>赵轩</t>
  </si>
  <si>
    <t>刘志瑞</t>
  </si>
  <si>
    <t>赵祎天</t>
  </si>
  <si>
    <t>李旭</t>
  </si>
  <si>
    <t>孙康</t>
  </si>
  <si>
    <t>刘志刚</t>
  </si>
  <si>
    <t>徐喜浩</t>
  </si>
  <si>
    <t>周一鸣</t>
  </si>
  <si>
    <t>史佳辉</t>
  </si>
  <si>
    <t>马宁</t>
  </si>
  <si>
    <r>
      <rPr>
        <sz val="12"/>
        <color rgb="FF000000"/>
        <rFont val="微软雅黑"/>
        <charset val="134"/>
      </rPr>
      <t>罗正和</t>
    </r>
    <r>
      <rPr>
        <sz val="12"/>
        <color rgb="FF000000"/>
        <rFont val="微软雅黑"/>
        <charset val="134"/>
      </rPr>
      <t xml:space="preserve"> </t>
    </r>
  </si>
  <si>
    <t>司佳松</t>
  </si>
  <si>
    <t>李孟尚</t>
  </si>
  <si>
    <t>马子杰</t>
  </si>
  <si>
    <t>王正铂</t>
  </si>
  <si>
    <t>孙海钦</t>
  </si>
  <si>
    <t>赵家豪</t>
  </si>
  <si>
    <t>樊奥博</t>
  </si>
  <si>
    <t>李梓畅</t>
  </si>
  <si>
    <t>泰梓钊</t>
  </si>
  <si>
    <t>罗嘉祥</t>
  </si>
  <si>
    <t>崔家豪</t>
  </si>
  <si>
    <t>李晨睿</t>
  </si>
  <si>
    <t>周佳永</t>
  </si>
  <si>
    <t>贾浩楠</t>
  </si>
  <si>
    <t>李浩楠</t>
  </si>
  <si>
    <t>庞煜晓</t>
  </si>
  <si>
    <t xml:space="preserve">赵鑫哲 </t>
  </si>
  <si>
    <t>张敏</t>
  </si>
  <si>
    <t>康书锐</t>
  </si>
  <si>
    <t>郭晓嘉</t>
  </si>
  <si>
    <t>赵泽国</t>
  </si>
  <si>
    <t>王佟铄</t>
  </si>
  <si>
    <t>曹锦琦</t>
  </si>
  <si>
    <t>孙佩麒</t>
  </si>
  <si>
    <t>段云龙</t>
  </si>
  <si>
    <t>刘柯</t>
  </si>
  <si>
    <t>焦文硕</t>
  </si>
  <si>
    <t>张锐</t>
  </si>
  <si>
    <t xml:space="preserve">梁津睿 </t>
  </si>
  <si>
    <t>李嘉诚</t>
  </si>
  <si>
    <t>贾学磊</t>
  </si>
  <si>
    <t>陈海洋</t>
  </si>
  <si>
    <t>侯相帅</t>
  </si>
  <si>
    <t>申子墨</t>
  </si>
  <si>
    <t>封皓天</t>
  </si>
  <si>
    <t>李昊</t>
  </si>
  <si>
    <t>穆哲茂</t>
  </si>
  <si>
    <t>张洪铭</t>
  </si>
  <si>
    <t>孟垚旭</t>
  </si>
  <si>
    <t>马天阔</t>
  </si>
  <si>
    <t>霍禹冰</t>
  </si>
  <si>
    <t>曹文博</t>
  </si>
  <si>
    <t>霍鹏杰</t>
  </si>
  <si>
    <t>王钲雯</t>
  </si>
  <si>
    <t>高士杰</t>
  </si>
  <si>
    <t>武佳鸣</t>
  </si>
  <si>
    <t>周怡腾</t>
  </si>
  <si>
    <t>路文森</t>
  </si>
  <si>
    <t>祁志丞</t>
  </si>
  <si>
    <t>杨杰</t>
  </si>
  <si>
    <t>张鑫宇</t>
  </si>
  <si>
    <t>乔宇航</t>
  </si>
  <si>
    <t>李郝佳</t>
  </si>
  <si>
    <t>田昊</t>
  </si>
  <si>
    <t>胡浩彬</t>
  </si>
  <si>
    <t>周测</t>
  </si>
  <si>
    <t>崔毅</t>
  </si>
  <si>
    <t>庞博睿</t>
  </si>
  <si>
    <t>李炫朴</t>
  </si>
  <si>
    <t>程若栩</t>
  </si>
  <si>
    <t>赵昕博</t>
  </si>
  <si>
    <t>郭子昊</t>
  </si>
  <si>
    <t>张正浩</t>
  </si>
  <si>
    <t>闫炜中</t>
  </si>
  <si>
    <t>石宇</t>
  </si>
  <si>
    <t>陈亚博</t>
  </si>
  <si>
    <t>吴紫航</t>
  </si>
  <si>
    <t>郄嘉诚</t>
  </si>
  <si>
    <t>张世杰</t>
  </si>
  <si>
    <t>刘浩</t>
  </si>
  <si>
    <t>刘淏天</t>
  </si>
  <si>
    <t>胡津豪</t>
  </si>
  <si>
    <t>武琛泽</t>
  </si>
  <si>
    <t>杨泽邦</t>
  </si>
  <si>
    <t>刘佳民</t>
  </si>
  <si>
    <t>牛子奥</t>
  </si>
  <si>
    <t>刘贺杰</t>
  </si>
  <si>
    <t>于嘉琛</t>
  </si>
  <si>
    <t>程鹏瑞</t>
  </si>
  <si>
    <t>徐赫</t>
  </si>
  <si>
    <t>作弊</t>
  </si>
  <si>
    <t>赵朔</t>
  </si>
  <si>
    <t>白鑫杰</t>
  </si>
  <si>
    <t>关浩聪</t>
  </si>
  <si>
    <t>邱一喆</t>
  </si>
  <si>
    <t>李炫达</t>
  </si>
  <si>
    <t>潘浩然</t>
  </si>
  <si>
    <t>段企辉</t>
  </si>
  <si>
    <t>寇丁</t>
  </si>
  <si>
    <t>刘泽名</t>
  </si>
  <si>
    <t>王仕森</t>
  </si>
  <si>
    <t>张安琪</t>
  </si>
  <si>
    <t>谷子霖</t>
  </si>
  <si>
    <t>郑淏泽</t>
  </si>
  <si>
    <t>甄晓进</t>
  </si>
  <si>
    <t>杨淼</t>
  </si>
  <si>
    <t>马常源</t>
  </si>
  <si>
    <t>孙毅</t>
  </si>
  <si>
    <t>齐梓浩</t>
  </si>
  <si>
    <t>李尚哲</t>
  </si>
  <si>
    <t>陈泽鑫</t>
  </si>
  <si>
    <t>王宝森</t>
  </si>
  <si>
    <t>袁博</t>
  </si>
  <si>
    <t>职测生物</t>
  </si>
  <si>
    <t>曹壹奕</t>
  </si>
  <si>
    <t>马皙雅</t>
  </si>
  <si>
    <t>张艺博</t>
  </si>
  <si>
    <t>位瑞轩</t>
  </si>
  <si>
    <t>钮嘉欣</t>
  </si>
  <si>
    <t>温银萍</t>
  </si>
  <si>
    <t>剧子娴</t>
  </si>
  <si>
    <t>谷彤</t>
  </si>
  <si>
    <t>栗晓慧</t>
  </si>
  <si>
    <t>王宣尹</t>
  </si>
  <si>
    <t>刘依晨</t>
  </si>
  <si>
    <t>贾宇萱</t>
  </si>
  <si>
    <t>黄奥月</t>
  </si>
  <si>
    <t>崔梓烨</t>
  </si>
  <si>
    <t>李安康</t>
  </si>
  <si>
    <t>张梦晞</t>
  </si>
  <si>
    <t>齐怡然</t>
  </si>
  <si>
    <t>王敏</t>
  </si>
  <si>
    <t>张德龙</t>
  </si>
  <si>
    <t>张舒林</t>
  </si>
  <si>
    <t>王坤</t>
  </si>
  <si>
    <t>杨鑫淼</t>
  </si>
  <si>
    <t>武智伟</t>
  </si>
  <si>
    <t>马艺楠</t>
  </si>
  <si>
    <t>王紫妍</t>
  </si>
  <si>
    <t>王甜</t>
  </si>
  <si>
    <t>邢泽文</t>
  </si>
  <si>
    <t>高艺宣</t>
  </si>
  <si>
    <t>樊静怡</t>
  </si>
  <si>
    <t>贺佳怡</t>
  </si>
  <si>
    <t>李子阳</t>
  </si>
  <si>
    <t>杨宇琪</t>
  </si>
  <si>
    <t>张梦源</t>
  </si>
  <si>
    <t>李佳慧</t>
  </si>
  <si>
    <t>张雪楠</t>
  </si>
  <si>
    <t>高莹</t>
  </si>
  <si>
    <t>··</t>
  </si>
  <si>
    <t>康兴婉</t>
  </si>
  <si>
    <t>刘家乐</t>
  </si>
  <si>
    <t>张一杭</t>
  </si>
  <si>
    <t>胡博涵</t>
  </si>
  <si>
    <t>李亚坤</t>
  </si>
  <si>
    <t>何旭杰</t>
  </si>
  <si>
    <t>8.2入学测</t>
  </si>
  <si>
    <t>王晶</t>
  </si>
  <si>
    <t>李晶祺</t>
  </si>
  <si>
    <t>桑梓诺</t>
  </si>
  <si>
    <t>杨慧敏</t>
  </si>
  <si>
    <t>闫伽颖</t>
  </si>
  <si>
    <t>雷奥琪</t>
  </si>
  <si>
    <t>朱宇轩</t>
  </si>
  <si>
    <t>杨鑫伟</t>
  </si>
  <si>
    <t>孙一可</t>
  </si>
  <si>
    <t>刘欣怡</t>
  </si>
  <si>
    <t>张瑞敏</t>
  </si>
  <si>
    <t>赵子扬</t>
  </si>
  <si>
    <t>刘春辉</t>
  </si>
  <si>
    <t>刘铮程淼</t>
  </si>
  <si>
    <t>赵晶晶</t>
  </si>
  <si>
    <t>王韶涵</t>
  </si>
  <si>
    <t>许胜芸</t>
  </si>
  <si>
    <t>李泽依</t>
  </si>
  <si>
    <t>李佳萱</t>
  </si>
  <si>
    <t>李昊波</t>
  </si>
  <si>
    <t>赵梓彤</t>
  </si>
  <si>
    <t>陈奕名</t>
  </si>
  <si>
    <t>周晓默</t>
  </si>
  <si>
    <t>刘佳昕</t>
  </si>
  <si>
    <t>计宇辰</t>
  </si>
  <si>
    <t>李美琳</t>
  </si>
  <si>
    <t>唐畅</t>
  </si>
  <si>
    <t>张桠楠</t>
  </si>
  <si>
    <t>贾子妍</t>
  </si>
  <si>
    <t>程淼</t>
  </si>
  <si>
    <t>郝子烨</t>
  </si>
  <si>
    <t>王思琪</t>
  </si>
  <si>
    <t>李衎</t>
  </si>
  <si>
    <t>郝泽熙</t>
  </si>
  <si>
    <t>李佳桐</t>
  </si>
  <si>
    <t>刘思梦</t>
  </si>
  <si>
    <t>郑攀红</t>
  </si>
  <si>
    <t>任海越</t>
  </si>
  <si>
    <t>高泽轩</t>
  </si>
  <si>
    <t>果雨</t>
  </si>
  <si>
    <t>逯梦茹</t>
  </si>
  <si>
    <t>苑天哲</t>
  </si>
  <si>
    <t>周意茹</t>
  </si>
  <si>
    <t>曹子森</t>
  </si>
  <si>
    <t>刚转入</t>
  </si>
  <si>
    <t>连天一</t>
  </si>
  <si>
    <t>张康丁</t>
  </si>
  <si>
    <t>韩裕悰</t>
  </si>
  <si>
    <t>刘澳鑫</t>
  </si>
  <si>
    <t>职测历史</t>
  </si>
  <si>
    <t>职测思政</t>
  </si>
  <si>
    <t>信息技术</t>
  </si>
  <si>
    <t>刘笑琳</t>
  </si>
  <si>
    <t>冉晓静</t>
  </si>
  <si>
    <t>薛子涵</t>
  </si>
  <si>
    <t>张梦露</t>
  </si>
  <si>
    <t>崔馨雨</t>
  </si>
  <si>
    <t>刘雅轩</t>
  </si>
  <si>
    <t>李新蕾</t>
  </si>
  <si>
    <t>姚泽莹</t>
  </si>
  <si>
    <t>薛晗阳</t>
  </si>
  <si>
    <t>宋文婕</t>
  </si>
  <si>
    <t>单默涵</t>
  </si>
  <si>
    <t>王怡婷</t>
  </si>
  <si>
    <t>崔玉英</t>
  </si>
  <si>
    <t>刘梦迪</t>
  </si>
  <si>
    <t>李思宇</t>
  </si>
  <si>
    <t>班玉君</t>
  </si>
  <si>
    <t>美术</t>
  </si>
  <si>
    <t>孙鑫</t>
  </si>
  <si>
    <t>于诺伊</t>
  </si>
  <si>
    <t>田子雅</t>
  </si>
  <si>
    <t>钟子怡</t>
  </si>
  <si>
    <t>程泽钰</t>
  </si>
  <si>
    <t>闫宇笑</t>
  </si>
  <si>
    <t>张韵梓</t>
  </si>
  <si>
    <t>任皓然</t>
  </si>
  <si>
    <t>历史</t>
  </si>
  <si>
    <t>信息</t>
  </si>
  <si>
    <t>蔡艺萱</t>
  </si>
  <si>
    <t>庞翊宣</t>
  </si>
  <si>
    <t>赵博含</t>
  </si>
  <si>
    <t>张博涵</t>
  </si>
  <si>
    <t>白紫溪</t>
  </si>
  <si>
    <t>刘潇远</t>
  </si>
  <si>
    <t>李铂洋</t>
  </si>
  <si>
    <t>王颖</t>
  </si>
  <si>
    <t>刘帅</t>
  </si>
  <si>
    <t>赵曼宇</t>
  </si>
  <si>
    <t>张雨靖</t>
  </si>
  <si>
    <t>孙楠</t>
  </si>
  <si>
    <t>马海云</t>
  </si>
  <si>
    <t>崔钰焱</t>
  </si>
  <si>
    <t>巴宇瑄</t>
  </si>
  <si>
    <t>闫宇帆</t>
  </si>
  <si>
    <t>王思远</t>
  </si>
  <si>
    <t>史益嘉</t>
  </si>
  <si>
    <t>常丽娜</t>
  </si>
  <si>
    <t>张煜涵</t>
  </si>
  <si>
    <t>李晓然</t>
  </si>
  <si>
    <t>李一帆</t>
  </si>
  <si>
    <t>王晓丹</t>
  </si>
  <si>
    <t>闫晓慧</t>
  </si>
  <si>
    <t>周志超</t>
  </si>
  <si>
    <t>侯帅</t>
  </si>
  <si>
    <t>周末迪</t>
  </si>
  <si>
    <t>谷紫健</t>
  </si>
  <si>
    <t>卢薇杉</t>
  </si>
  <si>
    <t>刘铭烨</t>
  </si>
  <si>
    <t>裴浩宇</t>
  </si>
  <si>
    <t>霍瑞楠</t>
  </si>
  <si>
    <t>路怡然</t>
  </si>
  <si>
    <t>程译婕</t>
  </si>
  <si>
    <t>胡筱冉</t>
  </si>
  <si>
    <t>刘一冉</t>
  </si>
  <si>
    <t>孔潇</t>
  </si>
  <si>
    <t>曹梓焱</t>
  </si>
  <si>
    <t>明宇瑶</t>
  </si>
  <si>
    <t>葛函旭</t>
  </si>
  <si>
    <t>孙岚莎</t>
  </si>
  <si>
    <t>陶铉</t>
  </si>
  <si>
    <t>贾博杰</t>
  </si>
  <si>
    <t>程奥毅</t>
  </si>
  <si>
    <t>周慈硕</t>
  </si>
  <si>
    <t>程石</t>
  </si>
  <si>
    <t>胡梓旭</t>
  </si>
  <si>
    <t>张嘉琪</t>
  </si>
  <si>
    <t>许静妤</t>
  </si>
  <si>
    <t>史雪晴</t>
  </si>
  <si>
    <t>曹展溪</t>
  </si>
  <si>
    <t>赵敏</t>
  </si>
  <si>
    <t>陈晓敏</t>
  </si>
  <si>
    <t>韩婷</t>
  </si>
  <si>
    <t>李一畅</t>
  </si>
  <si>
    <t>刘萌萌</t>
  </si>
  <si>
    <t>张赫轩</t>
  </si>
  <si>
    <t>杨颜卉</t>
  </si>
  <si>
    <t>闫梦佳</t>
  </si>
  <si>
    <t>郭昕茹</t>
  </si>
  <si>
    <t>吴浩然</t>
  </si>
  <si>
    <t>孟士栋</t>
  </si>
  <si>
    <t>孙昭瑞</t>
  </si>
  <si>
    <t>邸若寒</t>
  </si>
  <si>
    <t>杜博雨</t>
  </si>
  <si>
    <t>李宜璠</t>
  </si>
  <si>
    <t>廉雨欣</t>
  </si>
  <si>
    <t>聂文特</t>
  </si>
  <si>
    <t>田默诗</t>
  </si>
  <si>
    <t>王一盼</t>
  </si>
  <si>
    <t>肖柯娴</t>
  </si>
  <si>
    <t>闫家瑞</t>
  </si>
  <si>
    <t>张梓轩</t>
  </si>
  <si>
    <t>周若依</t>
  </si>
  <si>
    <t>王邵涵</t>
  </si>
  <si>
    <t>孙若涵</t>
  </si>
  <si>
    <t>李春颖</t>
  </si>
  <si>
    <t>李佳瑶</t>
  </si>
  <si>
    <t>李泽鑫</t>
  </si>
  <si>
    <t>旷考</t>
  </si>
  <si>
    <t>高宇兴</t>
  </si>
  <si>
    <t>李静怡</t>
  </si>
  <si>
    <t>曹越</t>
  </si>
  <si>
    <t>李梓坦</t>
  </si>
  <si>
    <t>菅首航</t>
  </si>
  <si>
    <t>程梓钦</t>
  </si>
  <si>
    <t>冯雪婷</t>
  </si>
  <si>
    <t>魏若冰</t>
  </si>
  <si>
    <t>牛鑫泽</t>
  </si>
  <si>
    <t>唐荣杰</t>
  </si>
  <si>
    <t>薛红康</t>
  </si>
  <si>
    <t>张语凝</t>
  </si>
  <si>
    <t>田奥</t>
  </si>
  <si>
    <t>李晓星</t>
  </si>
  <si>
    <t>田文琦</t>
  </si>
  <si>
    <t>申子宁</t>
  </si>
  <si>
    <t>苏锦平</t>
  </si>
  <si>
    <t>王晓鹏</t>
  </si>
  <si>
    <t>张雪敏</t>
  </si>
  <si>
    <t>张慧哲</t>
  </si>
  <si>
    <t>柴语博</t>
  </si>
  <si>
    <t>韩涛</t>
  </si>
  <si>
    <t>王海涛</t>
  </si>
  <si>
    <t>刘雅畅</t>
  </si>
  <si>
    <t>蒋怿泽</t>
  </si>
  <si>
    <t>马奥飞</t>
  </si>
  <si>
    <t>乔智</t>
  </si>
  <si>
    <t>张子默</t>
  </si>
  <si>
    <t>郑子涵</t>
  </si>
  <si>
    <t>王嘉瑶</t>
  </si>
  <si>
    <t>闫嘉慧</t>
  </si>
  <si>
    <t>封昭君</t>
  </si>
  <si>
    <t>杨奥</t>
  </si>
  <si>
    <t>胡英杰</t>
  </si>
  <si>
    <t>李秀靖</t>
  </si>
  <si>
    <t>董子柔</t>
  </si>
  <si>
    <t>郝亦诺</t>
  </si>
  <si>
    <t>沈美何</t>
  </si>
  <si>
    <t>栗若纤</t>
  </si>
  <si>
    <t>方健美</t>
  </si>
  <si>
    <t>申笑笑</t>
  </si>
  <si>
    <t>董明宇</t>
  </si>
  <si>
    <t>苏子凡</t>
  </si>
  <si>
    <t>郝佳瑞</t>
  </si>
  <si>
    <t>郭圆梦</t>
  </si>
  <si>
    <t>田舒萌</t>
  </si>
  <si>
    <t>朱坤</t>
  </si>
  <si>
    <t>白云鑫</t>
  </si>
  <si>
    <t>张森洋</t>
  </si>
  <si>
    <t>张家赫</t>
  </si>
  <si>
    <t>李琪奥</t>
  </si>
  <si>
    <t>崔展谊</t>
  </si>
  <si>
    <t>许祥雨</t>
  </si>
  <si>
    <t>蕫怡涵</t>
  </si>
  <si>
    <t>邵宏宇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</si>
</sst>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4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26" applyNumberFormat="0" applyAlignment="0" applyProtection="0">
      <alignment vertical="center"/>
    </xf>
    <xf numFmtId="0" fontId="24" fillId="10" borderId="27" applyNumberFormat="0" applyAlignment="0" applyProtection="0">
      <alignment vertical="center"/>
    </xf>
    <xf numFmtId="0" fontId="25" fillId="10" borderId="26" applyNumberFormat="0" applyAlignment="0" applyProtection="0">
      <alignment vertical="center"/>
    </xf>
    <xf numFmtId="0" fontId="26" fillId="11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4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3" borderId="7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1" xfId="0" applyFont="1" applyBorder="1">
      <alignment vertical="center"/>
    </xf>
    <xf numFmtId="0" fontId="6" fillId="3" borderId="1" xfId="0" applyFont="1" applyFill="1" applyBorder="1">
      <alignment vertical="center"/>
    </xf>
    <xf numFmtId="0" fontId="6" fillId="0" borderId="13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6" fillId="3" borderId="14" xfId="0" applyFont="1" applyFill="1" applyBorder="1">
      <alignment vertical="center"/>
    </xf>
    <xf numFmtId="0" fontId="6" fillId="0" borderId="15" xfId="0" applyFont="1" applyBorder="1">
      <alignment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1" fillId="0" borderId="16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9"/>
  <sheetViews>
    <sheetView zoomScale="70" zoomScaleNormal="70" workbookViewId="0">
      <pane xSplit="1" topLeftCell="B1" activePane="topRight" state="frozen"/>
      <selection/>
      <selection pane="topRight" activeCell="M11" sqref="M11"/>
    </sheetView>
  </sheetViews>
  <sheetFormatPr defaultColWidth="9.64166666666667" defaultRowHeight="13.5"/>
  <cols>
    <col min="1" max="1" width="7.375" customWidth="1"/>
    <col min="2" max="3" width="5.125" customWidth="1"/>
    <col min="4" max="7" width="8.875" customWidth="1"/>
    <col min="8" max="8" width="5.375" customWidth="1"/>
    <col min="9" max="10" width="5.125" customWidth="1"/>
    <col min="11" max="14" width="8.875" customWidth="1"/>
    <col min="15" max="15" width="5.375" customWidth="1"/>
    <col min="16" max="17" width="5.125" customWidth="1"/>
    <col min="18" max="21" width="8.875" customWidth="1"/>
    <col min="22" max="22" width="5.375" customWidth="1"/>
    <col min="23" max="24" width="5.125" customWidth="1"/>
    <col min="25" max="28" width="8.875" customWidth="1"/>
    <col min="29" max="29" width="5.125" customWidth="1"/>
  </cols>
  <sheetData>
    <row r="1" ht="31" customHeight="1" spans="1:48">
      <c r="A1" s="4"/>
      <c r="B1" s="49" t="s">
        <v>0</v>
      </c>
      <c r="C1" s="67"/>
      <c r="D1" s="67"/>
      <c r="E1" s="67"/>
      <c r="F1" s="67"/>
      <c r="G1" s="67"/>
      <c r="H1" s="67"/>
      <c r="I1" s="49" t="s">
        <v>1</v>
      </c>
      <c r="J1" s="67"/>
      <c r="K1" s="67"/>
      <c r="L1" s="67"/>
      <c r="M1" s="67"/>
      <c r="N1" s="67"/>
      <c r="O1" s="67"/>
      <c r="P1" s="49" t="s">
        <v>2</v>
      </c>
      <c r="Q1" s="67"/>
      <c r="R1" s="67"/>
      <c r="S1" s="67"/>
      <c r="T1" s="67"/>
      <c r="U1" s="67"/>
      <c r="V1" s="67"/>
      <c r="W1" s="49" t="s">
        <v>3</v>
      </c>
      <c r="X1" s="67"/>
      <c r="Y1" s="67"/>
      <c r="Z1" s="67"/>
      <c r="AA1" s="67"/>
      <c r="AB1" s="67"/>
      <c r="AC1" s="67"/>
    </row>
    <row r="2" ht="35" customHeight="1" spans="1:48">
      <c r="A2" s="49" t="s">
        <v>4</v>
      </c>
      <c r="B2" s="54" t="s">
        <v>5</v>
      </c>
      <c r="C2" s="54" t="s">
        <v>6</v>
      </c>
      <c r="D2" s="54" t="s">
        <v>7</v>
      </c>
      <c r="E2" s="54" t="s">
        <v>8</v>
      </c>
      <c r="F2" s="54" t="s">
        <v>9</v>
      </c>
      <c r="G2" s="54" t="s">
        <v>10</v>
      </c>
      <c r="H2" s="54" t="s">
        <v>11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5</v>
      </c>
      <c r="Q2" s="54" t="s">
        <v>6</v>
      </c>
      <c r="R2" s="54" t="s">
        <v>7</v>
      </c>
      <c r="S2" s="54" t="s">
        <v>8</v>
      </c>
      <c r="T2" s="54" t="s">
        <v>9</v>
      </c>
      <c r="U2" s="54" t="s">
        <v>10</v>
      </c>
      <c r="V2" s="54" t="s">
        <v>11</v>
      </c>
      <c r="W2" s="54" t="s">
        <v>5</v>
      </c>
      <c r="X2" s="54" t="s">
        <v>6</v>
      </c>
      <c r="Y2" s="54" t="s">
        <v>7</v>
      </c>
      <c r="Z2" s="54" t="s">
        <v>8</v>
      </c>
      <c r="AA2" s="54" t="s">
        <v>9</v>
      </c>
      <c r="AB2" s="54" t="s">
        <v>10</v>
      </c>
      <c r="AC2" s="54" t="s">
        <v>11</v>
      </c>
    </row>
    <row r="3" ht="19" customHeight="1" spans="1:48">
      <c r="A3" s="107" t="s">
        <v>12</v>
      </c>
      <c r="B3" s="70">
        <v>52</v>
      </c>
      <c r="C3" s="70">
        <v>56</v>
      </c>
      <c r="D3" s="70">
        <v>47</v>
      </c>
      <c r="E3" s="70">
        <v>70</v>
      </c>
      <c r="F3" s="70">
        <v>25</v>
      </c>
      <c r="G3" s="70">
        <v>95</v>
      </c>
      <c r="H3" s="70">
        <v>250</v>
      </c>
      <c r="I3" s="70">
        <v>52</v>
      </c>
      <c r="J3" s="70">
        <v>71</v>
      </c>
      <c r="K3" s="70">
        <v>60</v>
      </c>
      <c r="L3" s="70">
        <v>32</v>
      </c>
      <c r="M3" s="70">
        <v>35</v>
      </c>
      <c r="N3" s="70">
        <v>67</v>
      </c>
      <c r="O3" s="70">
        <v>250</v>
      </c>
      <c r="P3" s="108">
        <v>56</v>
      </c>
      <c r="Q3" s="108">
        <v>54</v>
      </c>
      <c r="R3" s="108">
        <v>60</v>
      </c>
      <c r="S3" s="108">
        <v>47</v>
      </c>
      <c r="T3" s="108">
        <v>30</v>
      </c>
      <c r="U3" s="108">
        <v>77</v>
      </c>
      <c r="V3" s="108">
        <v>247</v>
      </c>
      <c r="W3" s="59">
        <v>74</v>
      </c>
      <c r="X3" s="59">
        <v>84</v>
      </c>
      <c r="Y3" s="59">
        <v>64</v>
      </c>
      <c r="Z3" s="59">
        <v>62</v>
      </c>
      <c r="AA3" s="59">
        <v>34</v>
      </c>
      <c r="AB3" s="59">
        <f>SUM(Z3:AA3)</f>
        <v>96</v>
      </c>
      <c r="AC3" s="59">
        <f>SUM(W3:AA3)</f>
        <v>318</v>
      </c>
      <c r="AD3" s="109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ht="19" customHeight="1" spans="1:48">
      <c r="A4" s="107" t="s">
        <v>13</v>
      </c>
      <c r="B4" s="70">
        <v>56</v>
      </c>
      <c r="C4" s="70">
        <v>56</v>
      </c>
      <c r="D4" s="70">
        <v>70</v>
      </c>
      <c r="E4" s="70">
        <v>57</v>
      </c>
      <c r="F4" s="70">
        <v>28</v>
      </c>
      <c r="G4" s="70">
        <v>85</v>
      </c>
      <c r="H4" s="70">
        <v>267</v>
      </c>
      <c r="I4" s="70">
        <v>56</v>
      </c>
      <c r="J4" s="70">
        <v>76</v>
      </c>
      <c r="K4" s="70">
        <v>80</v>
      </c>
      <c r="L4" s="70">
        <v>63</v>
      </c>
      <c r="M4" s="70">
        <v>39</v>
      </c>
      <c r="N4" s="70">
        <v>102</v>
      </c>
      <c r="O4" s="70">
        <v>314</v>
      </c>
      <c r="P4" s="108" t="s">
        <v>14</v>
      </c>
      <c r="Q4" s="108" t="s">
        <v>14</v>
      </c>
      <c r="R4" s="108" t="s">
        <v>14</v>
      </c>
      <c r="S4" s="108" t="s">
        <v>14</v>
      </c>
      <c r="T4" s="108" t="s">
        <v>14</v>
      </c>
      <c r="U4" s="108" t="s">
        <v>14</v>
      </c>
      <c r="V4" s="108" t="s">
        <v>14</v>
      </c>
      <c r="W4" s="59">
        <v>76</v>
      </c>
      <c r="X4" s="59">
        <v>63</v>
      </c>
      <c r="Y4" s="59">
        <v>64</v>
      </c>
      <c r="Z4" s="59">
        <v>69</v>
      </c>
      <c r="AA4" s="59">
        <v>36</v>
      </c>
      <c r="AB4" s="59">
        <f t="shared" ref="AB4:AB28" si="0">SUM(Z4:AA4)</f>
        <v>105</v>
      </c>
      <c r="AC4" s="59">
        <f t="shared" ref="AC4:AC28" si="1">SUM(W4:AA4)</f>
        <v>308</v>
      </c>
      <c r="AD4" s="109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19" customHeight="1" spans="1:48">
      <c r="A5" s="107" t="s">
        <v>15</v>
      </c>
      <c r="B5" s="72"/>
      <c r="C5" s="72"/>
      <c r="D5" s="72"/>
      <c r="E5" s="72"/>
      <c r="F5" s="72"/>
      <c r="G5" s="72"/>
      <c r="H5" s="72" t="s">
        <v>14</v>
      </c>
      <c r="I5" s="72">
        <v>70</v>
      </c>
      <c r="J5" s="72">
        <v>84</v>
      </c>
      <c r="K5" s="72">
        <v>74</v>
      </c>
      <c r="L5" s="72">
        <v>48</v>
      </c>
      <c r="M5" s="72">
        <v>34</v>
      </c>
      <c r="N5" s="72">
        <v>82</v>
      </c>
      <c r="O5" s="72">
        <v>310</v>
      </c>
      <c r="P5" s="108">
        <v>76</v>
      </c>
      <c r="Q5" s="108">
        <v>79</v>
      </c>
      <c r="R5" s="108">
        <v>86</v>
      </c>
      <c r="S5" s="108">
        <v>46</v>
      </c>
      <c r="T5" s="108">
        <v>22</v>
      </c>
      <c r="U5" s="108">
        <v>68</v>
      </c>
      <c r="V5" s="108">
        <v>309</v>
      </c>
      <c r="W5" s="59">
        <v>78</v>
      </c>
      <c r="X5" s="59">
        <v>95</v>
      </c>
      <c r="Y5" s="59">
        <v>68</v>
      </c>
      <c r="Z5" s="59">
        <v>41</v>
      </c>
      <c r="AA5" s="59">
        <v>26</v>
      </c>
      <c r="AB5" s="59">
        <f t="shared" si="0"/>
        <v>67</v>
      </c>
      <c r="AC5" s="59">
        <f t="shared" si="1"/>
        <v>308</v>
      </c>
      <c r="AD5" s="109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ht="19" customHeight="1" spans="1:48">
      <c r="A6" s="107" t="s">
        <v>16</v>
      </c>
      <c r="B6" s="70">
        <v>44</v>
      </c>
      <c r="C6" s="70">
        <v>92</v>
      </c>
      <c r="D6" s="70">
        <v>42</v>
      </c>
      <c r="E6" s="70">
        <v>77</v>
      </c>
      <c r="F6" s="70">
        <v>35</v>
      </c>
      <c r="G6" s="70">
        <v>112</v>
      </c>
      <c r="H6" s="70">
        <v>290</v>
      </c>
      <c r="I6" s="70">
        <v>66</v>
      </c>
      <c r="J6" s="70">
        <v>100</v>
      </c>
      <c r="K6" s="70">
        <v>70</v>
      </c>
      <c r="L6" s="70">
        <v>73</v>
      </c>
      <c r="M6" s="70">
        <v>35</v>
      </c>
      <c r="N6" s="70">
        <v>108</v>
      </c>
      <c r="O6" s="70">
        <v>344</v>
      </c>
      <c r="P6" s="108">
        <v>68</v>
      </c>
      <c r="Q6" s="108">
        <v>70</v>
      </c>
      <c r="R6" s="108">
        <v>66</v>
      </c>
      <c r="S6" s="108">
        <v>94</v>
      </c>
      <c r="T6" s="108">
        <v>26</v>
      </c>
      <c r="U6" s="108">
        <v>120</v>
      </c>
      <c r="V6" s="108">
        <v>324</v>
      </c>
      <c r="W6" s="59">
        <v>78</v>
      </c>
      <c r="X6" s="59">
        <v>94</v>
      </c>
      <c r="Y6" s="59">
        <v>76</v>
      </c>
      <c r="Z6" s="59">
        <v>91</v>
      </c>
      <c r="AA6" s="59">
        <v>40</v>
      </c>
      <c r="AB6" s="59">
        <f t="shared" si="0"/>
        <v>131</v>
      </c>
      <c r="AC6" s="59">
        <f t="shared" si="1"/>
        <v>379</v>
      </c>
      <c r="AD6" s="109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ht="19" customHeight="1" spans="1:48">
      <c r="A7" s="107" t="s">
        <v>17</v>
      </c>
      <c r="B7" s="70">
        <v>68</v>
      </c>
      <c r="C7" s="70">
        <v>90</v>
      </c>
      <c r="D7" s="70">
        <v>51</v>
      </c>
      <c r="E7" s="70">
        <v>86</v>
      </c>
      <c r="F7" s="70">
        <v>35</v>
      </c>
      <c r="G7" s="70">
        <v>121</v>
      </c>
      <c r="H7" s="70">
        <v>330</v>
      </c>
      <c r="I7" s="70">
        <v>70</v>
      </c>
      <c r="J7" s="70">
        <v>97</v>
      </c>
      <c r="K7" s="70">
        <v>82</v>
      </c>
      <c r="L7" s="70">
        <v>91</v>
      </c>
      <c r="M7" s="70">
        <v>36</v>
      </c>
      <c r="N7" s="70">
        <v>127</v>
      </c>
      <c r="O7" s="70">
        <v>376</v>
      </c>
      <c r="P7" s="108">
        <v>80</v>
      </c>
      <c r="Q7" s="108">
        <v>89</v>
      </c>
      <c r="R7" s="108">
        <v>86</v>
      </c>
      <c r="S7" s="108">
        <v>97</v>
      </c>
      <c r="T7" s="108">
        <v>29</v>
      </c>
      <c r="U7" s="108">
        <v>126</v>
      </c>
      <c r="V7" s="108">
        <v>381</v>
      </c>
      <c r="W7" s="59">
        <v>64</v>
      </c>
      <c r="X7" s="59">
        <v>100</v>
      </c>
      <c r="Y7" s="59">
        <v>70</v>
      </c>
      <c r="Z7" s="59">
        <v>88</v>
      </c>
      <c r="AA7" s="59">
        <v>40</v>
      </c>
      <c r="AB7" s="59">
        <f t="shared" si="0"/>
        <v>128</v>
      </c>
      <c r="AC7" s="59">
        <f t="shared" si="1"/>
        <v>362</v>
      </c>
      <c r="AD7" s="109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ht="19" customHeight="1" spans="1:48">
      <c r="A8" s="107" t="s">
        <v>18</v>
      </c>
      <c r="B8" s="70">
        <v>64</v>
      </c>
      <c r="C8" s="70">
        <v>87</v>
      </c>
      <c r="D8" s="70">
        <v>60</v>
      </c>
      <c r="E8" s="70">
        <v>85</v>
      </c>
      <c r="F8" s="70">
        <v>24</v>
      </c>
      <c r="G8" s="70">
        <v>109</v>
      </c>
      <c r="H8" s="70">
        <v>320</v>
      </c>
      <c r="I8" s="70">
        <v>58</v>
      </c>
      <c r="J8" s="70">
        <v>73</v>
      </c>
      <c r="K8" s="70">
        <v>64</v>
      </c>
      <c r="L8" s="70">
        <v>54</v>
      </c>
      <c r="M8" s="70">
        <v>41</v>
      </c>
      <c r="N8" s="70">
        <v>95</v>
      </c>
      <c r="O8" s="70">
        <v>290</v>
      </c>
      <c r="P8" s="108">
        <v>62</v>
      </c>
      <c r="Q8" s="108">
        <v>60</v>
      </c>
      <c r="R8" s="108">
        <v>76</v>
      </c>
      <c r="S8" s="108">
        <v>45</v>
      </c>
      <c r="T8" s="108">
        <v>22</v>
      </c>
      <c r="U8" s="108">
        <v>67</v>
      </c>
      <c r="V8" s="108">
        <v>265</v>
      </c>
      <c r="W8" s="59">
        <v>72</v>
      </c>
      <c r="X8" s="59">
        <v>70</v>
      </c>
      <c r="Y8" s="59">
        <v>64</v>
      </c>
      <c r="Z8" s="59">
        <v>68</v>
      </c>
      <c r="AA8" s="59">
        <v>37</v>
      </c>
      <c r="AB8" s="59">
        <f t="shared" si="0"/>
        <v>105</v>
      </c>
      <c r="AC8" s="59">
        <f t="shared" si="1"/>
        <v>311</v>
      </c>
      <c r="AD8" s="109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ht="19" customHeight="1" spans="1:48">
      <c r="A9" s="107" t="s">
        <v>19</v>
      </c>
      <c r="B9" s="70">
        <v>60</v>
      </c>
      <c r="C9" s="70">
        <v>72</v>
      </c>
      <c r="D9" s="70">
        <v>61</v>
      </c>
      <c r="E9" s="70">
        <v>30</v>
      </c>
      <c r="F9" s="70">
        <v>22</v>
      </c>
      <c r="G9" s="70">
        <v>52</v>
      </c>
      <c r="H9" s="70">
        <v>245</v>
      </c>
      <c r="I9" s="70"/>
      <c r="J9" s="70"/>
      <c r="K9" s="70"/>
      <c r="L9" s="70"/>
      <c r="M9" s="70"/>
      <c r="N9" s="70"/>
      <c r="O9" s="70" t="s">
        <v>14</v>
      </c>
      <c r="P9" s="108">
        <v>62</v>
      </c>
      <c r="Q9" s="108">
        <v>42</v>
      </c>
      <c r="R9" s="108">
        <v>82</v>
      </c>
      <c r="S9" s="108">
        <v>37</v>
      </c>
      <c r="T9" s="108">
        <v>30</v>
      </c>
      <c r="U9" s="108">
        <v>67</v>
      </c>
      <c r="V9" s="108">
        <v>253</v>
      </c>
      <c r="W9" s="59"/>
      <c r="X9" s="59"/>
      <c r="Y9" s="59"/>
      <c r="Z9" s="59"/>
      <c r="AA9" s="59"/>
      <c r="AB9" s="59"/>
      <c r="AC9" s="53" t="s">
        <v>14</v>
      </c>
      <c r="AD9" s="109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ht="19" customHeight="1" spans="1:48">
      <c r="A10" s="107" t="s">
        <v>20</v>
      </c>
      <c r="B10" s="70">
        <v>42</v>
      </c>
      <c r="C10" s="70">
        <v>47</v>
      </c>
      <c r="D10" s="70">
        <v>39</v>
      </c>
      <c r="E10" s="70">
        <v>42</v>
      </c>
      <c r="F10" s="70">
        <v>19</v>
      </c>
      <c r="G10" s="70">
        <v>61</v>
      </c>
      <c r="H10" s="70">
        <v>189</v>
      </c>
      <c r="I10" s="70">
        <v>38</v>
      </c>
      <c r="J10" s="70">
        <v>71</v>
      </c>
      <c r="K10" s="70">
        <v>56</v>
      </c>
      <c r="L10" s="70">
        <v>24</v>
      </c>
      <c r="M10" s="70">
        <v>17</v>
      </c>
      <c r="N10" s="70">
        <v>41</v>
      </c>
      <c r="O10" s="70">
        <v>206</v>
      </c>
      <c r="P10" s="108">
        <v>48</v>
      </c>
      <c r="Q10" s="108">
        <v>58</v>
      </c>
      <c r="R10" s="108">
        <v>48</v>
      </c>
      <c r="S10" s="108">
        <v>39</v>
      </c>
      <c r="T10" s="108">
        <v>18</v>
      </c>
      <c r="U10" s="108">
        <v>57</v>
      </c>
      <c r="V10" s="108">
        <v>211</v>
      </c>
      <c r="W10" s="59">
        <v>54</v>
      </c>
      <c r="X10" s="59">
        <v>36</v>
      </c>
      <c r="Y10" s="59">
        <v>56</v>
      </c>
      <c r="Z10" s="59">
        <v>80</v>
      </c>
      <c r="AA10" s="59">
        <v>34</v>
      </c>
      <c r="AB10" s="59">
        <f t="shared" si="0"/>
        <v>114</v>
      </c>
      <c r="AC10" s="59">
        <f t="shared" si="1"/>
        <v>260</v>
      </c>
      <c r="AD10" s="109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ht="19" customHeight="1" spans="1:48">
      <c r="A11" s="107" t="s">
        <v>21</v>
      </c>
      <c r="B11" s="70">
        <v>78</v>
      </c>
      <c r="C11" s="70">
        <v>39</v>
      </c>
      <c r="D11" s="70">
        <v>67</v>
      </c>
      <c r="E11" s="70">
        <v>74</v>
      </c>
      <c r="F11" s="70">
        <v>32</v>
      </c>
      <c r="G11" s="70">
        <v>106</v>
      </c>
      <c r="H11" s="70">
        <v>290</v>
      </c>
      <c r="I11" s="70">
        <v>68</v>
      </c>
      <c r="J11" s="70">
        <v>97</v>
      </c>
      <c r="K11" s="70">
        <v>72</v>
      </c>
      <c r="L11" s="70">
        <v>51</v>
      </c>
      <c r="M11" s="70">
        <v>37</v>
      </c>
      <c r="N11" s="70">
        <v>88</v>
      </c>
      <c r="O11" s="70">
        <v>325</v>
      </c>
      <c r="P11" s="108">
        <v>62</v>
      </c>
      <c r="Q11" s="108">
        <v>63</v>
      </c>
      <c r="R11" s="108">
        <v>82</v>
      </c>
      <c r="S11" s="108">
        <v>28</v>
      </c>
      <c r="T11" s="108">
        <v>37</v>
      </c>
      <c r="U11" s="108">
        <v>65</v>
      </c>
      <c r="V11" s="108">
        <v>272</v>
      </c>
      <c r="W11" s="59">
        <v>76</v>
      </c>
      <c r="X11" s="59">
        <v>83</v>
      </c>
      <c r="Y11" s="59">
        <v>74</v>
      </c>
      <c r="Z11" s="59">
        <v>75</v>
      </c>
      <c r="AA11" s="59">
        <v>35</v>
      </c>
      <c r="AB11" s="59">
        <f t="shared" si="0"/>
        <v>110</v>
      </c>
      <c r="AC11" s="59">
        <f t="shared" si="1"/>
        <v>343</v>
      </c>
      <c r="AD11" s="109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ht="19" customHeight="1" spans="1:48">
      <c r="A12" s="107" t="s">
        <v>22</v>
      </c>
      <c r="B12" s="70">
        <v>54</v>
      </c>
      <c r="C12" s="70">
        <v>37</v>
      </c>
      <c r="D12" s="70">
        <v>58</v>
      </c>
      <c r="E12" s="72" t="s">
        <v>14</v>
      </c>
      <c r="F12" s="72" t="s">
        <v>14</v>
      </c>
      <c r="G12" s="72" t="s">
        <v>14</v>
      </c>
      <c r="H12" s="70">
        <v>149</v>
      </c>
      <c r="I12" s="70">
        <v>38</v>
      </c>
      <c r="J12" s="70">
        <v>44</v>
      </c>
      <c r="K12" s="70">
        <v>64</v>
      </c>
      <c r="L12" s="72">
        <v>35</v>
      </c>
      <c r="M12" s="72">
        <v>14</v>
      </c>
      <c r="N12" s="72">
        <v>49</v>
      </c>
      <c r="O12" s="70">
        <v>195</v>
      </c>
      <c r="P12" s="108" t="s">
        <v>14</v>
      </c>
      <c r="Q12" s="108" t="s">
        <v>14</v>
      </c>
      <c r="R12" s="108" t="s">
        <v>14</v>
      </c>
      <c r="S12" s="108" t="s">
        <v>14</v>
      </c>
      <c r="T12" s="108" t="s">
        <v>14</v>
      </c>
      <c r="U12" s="108" t="s">
        <v>14</v>
      </c>
      <c r="V12" s="108" t="s">
        <v>14</v>
      </c>
      <c r="W12" s="59">
        <v>70</v>
      </c>
      <c r="X12" s="59">
        <v>48</v>
      </c>
      <c r="Y12" s="59">
        <v>52</v>
      </c>
      <c r="Z12" s="59">
        <v>39</v>
      </c>
      <c r="AA12" s="59">
        <v>13</v>
      </c>
      <c r="AB12" s="59">
        <f t="shared" si="0"/>
        <v>52</v>
      </c>
      <c r="AC12" s="59">
        <f t="shared" si="1"/>
        <v>222</v>
      </c>
      <c r="AD12" s="109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ht="19" customHeight="1" spans="1:48">
      <c r="A13" s="107" t="s">
        <v>23</v>
      </c>
      <c r="B13" s="70">
        <v>50</v>
      </c>
      <c r="C13" s="70">
        <v>24</v>
      </c>
      <c r="D13" s="70">
        <v>65</v>
      </c>
      <c r="E13" s="70">
        <v>42</v>
      </c>
      <c r="F13" s="70">
        <v>23</v>
      </c>
      <c r="G13" s="70">
        <v>65</v>
      </c>
      <c r="H13" s="70">
        <v>204</v>
      </c>
      <c r="I13" s="70">
        <v>58</v>
      </c>
      <c r="J13" s="70">
        <v>28</v>
      </c>
      <c r="K13" s="70">
        <v>78</v>
      </c>
      <c r="L13" s="70">
        <v>32</v>
      </c>
      <c r="M13" s="70">
        <v>37</v>
      </c>
      <c r="N13" s="70">
        <v>69</v>
      </c>
      <c r="O13" s="70">
        <v>233</v>
      </c>
      <c r="P13" s="108">
        <v>70</v>
      </c>
      <c r="Q13" s="108">
        <v>29</v>
      </c>
      <c r="R13" s="108">
        <v>84</v>
      </c>
      <c r="S13" s="108">
        <v>45</v>
      </c>
      <c r="T13" s="108">
        <v>27</v>
      </c>
      <c r="U13" s="108">
        <v>72</v>
      </c>
      <c r="V13" s="108">
        <v>255</v>
      </c>
      <c r="W13" s="59"/>
      <c r="X13" s="59"/>
      <c r="Y13" s="59"/>
      <c r="Z13" s="59"/>
      <c r="AA13" s="59"/>
      <c r="AB13" s="59"/>
      <c r="AC13" s="53" t="s">
        <v>14</v>
      </c>
      <c r="AD13" s="109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ht="19" customHeight="1" spans="1:48">
      <c r="A14" s="107" t="s">
        <v>24</v>
      </c>
      <c r="B14" s="70">
        <v>74</v>
      </c>
      <c r="C14" s="70">
        <v>83</v>
      </c>
      <c r="D14" s="70">
        <v>68</v>
      </c>
      <c r="E14" s="70">
        <v>89</v>
      </c>
      <c r="F14" s="70">
        <v>35</v>
      </c>
      <c r="G14" s="70">
        <v>124</v>
      </c>
      <c r="H14" s="70">
        <v>349</v>
      </c>
      <c r="I14" s="70">
        <v>74</v>
      </c>
      <c r="J14" s="70">
        <v>97</v>
      </c>
      <c r="K14" s="70">
        <v>72</v>
      </c>
      <c r="L14" s="70">
        <v>94</v>
      </c>
      <c r="M14" s="70">
        <v>37</v>
      </c>
      <c r="N14" s="70">
        <v>131</v>
      </c>
      <c r="O14" s="70">
        <v>374</v>
      </c>
      <c r="P14" s="108">
        <v>82</v>
      </c>
      <c r="Q14" s="108">
        <v>73</v>
      </c>
      <c r="R14" s="108">
        <v>84</v>
      </c>
      <c r="S14" s="108">
        <v>85</v>
      </c>
      <c r="T14" s="108">
        <v>34</v>
      </c>
      <c r="U14" s="108">
        <v>119</v>
      </c>
      <c r="V14" s="108">
        <v>358</v>
      </c>
      <c r="W14" s="59">
        <v>76</v>
      </c>
      <c r="X14" s="59">
        <v>93</v>
      </c>
      <c r="Y14" s="59">
        <v>78</v>
      </c>
      <c r="Z14" s="59">
        <v>88</v>
      </c>
      <c r="AA14" s="59">
        <v>41</v>
      </c>
      <c r="AB14" s="59">
        <f t="shared" si="0"/>
        <v>129</v>
      </c>
      <c r="AC14" s="59">
        <f t="shared" si="1"/>
        <v>376</v>
      </c>
      <c r="AD14" s="109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ht="19" customHeight="1" spans="1:48">
      <c r="A15" s="107" t="s">
        <v>25</v>
      </c>
      <c r="B15" s="70">
        <v>68</v>
      </c>
      <c r="C15" s="70">
        <v>72</v>
      </c>
      <c r="D15" s="70">
        <v>63</v>
      </c>
      <c r="E15" s="70">
        <v>89</v>
      </c>
      <c r="F15" s="70">
        <v>31</v>
      </c>
      <c r="G15" s="70">
        <v>120</v>
      </c>
      <c r="H15" s="70">
        <v>323</v>
      </c>
      <c r="I15" s="70">
        <v>70</v>
      </c>
      <c r="J15" s="70">
        <v>89</v>
      </c>
      <c r="K15" s="70">
        <v>52</v>
      </c>
      <c r="L15" s="70">
        <v>87</v>
      </c>
      <c r="M15" s="70">
        <v>36</v>
      </c>
      <c r="N15" s="70">
        <v>123</v>
      </c>
      <c r="O15" s="70">
        <v>334</v>
      </c>
      <c r="P15" s="108">
        <v>60</v>
      </c>
      <c r="Q15" s="108">
        <v>60</v>
      </c>
      <c r="R15" s="108">
        <v>70</v>
      </c>
      <c r="S15" s="108">
        <v>80</v>
      </c>
      <c r="T15" s="108">
        <v>30</v>
      </c>
      <c r="U15" s="108">
        <v>110</v>
      </c>
      <c r="V15" s="108">
        <v>300</v>
      </c>
      <c r="W15" s="59">
        <v>64</v>
      </c>
      <c r="X15" s="59">
        <v>80</v>
      </c>
      <c r="Y15" s="59">
        <v>70</v>
      </c>
      <c r="Z15" s="59">
        <v>72</v>
      </c>
      <c r="AA15" s="59">
        <v>34</v>
      </c>
      <c r="AB15" s="59">
        <f t="shared" si="0"/>
        <v>106</v>
      </c>
      <c r="AC15" s="59">
        <f t="shared" si="1"/>
        <v>320</v>
      </c>
      <c r="AD15" s="109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ht="19" customHeight="1" spans="1:48">
      <c r="A16" s="107" t="s">
        <v>26</v>
      </c>
      <c r="B16" s="72"/>
      <c r="C16" s="72"/>
      <c r="D16" s="72"/>
      <c r="E16" s="72"/>
      <c r="F16" s="72"/>
      <c r="G16" s="72"/>
      <c r="H16" s="72" t="s">
        <v>14</v>
      </c>
      <c r="I16" s="72"/>
      <c r="J16" s="72"/>
      <c r="K16" s="72"/>
      <c r="L16" s="72"/>
      <c r="M16" s="72"/>
      <c r="N16" s="72"/>
      <c r="O16" s="72" t="s">
        <v>14</v>
      </c>
      <c r="P16" s="108">
        <v>60</v>
      </c>
      <c r="Q16" s="108">
        <v>61</v>
      </c>
      <c r="R16" s="108">
        <v>80</v>
      </c>
      <c r="S16" s="108">
        <v>33</v>
      </c>
      <c r="T16" s="108">
        <v>31</v>
      </c>
      <c r="U16" s="108">
        <v>64</v>
      </c>
      <c r="V16" s="108">
        <v>265</v>
      </c>
      <c r="W16" s="59"/>
      <c r="X16" s="59"/>
      <c r="Y16" s="59"/>
      <c r="Z16" s="59"/>
      <c r="AA16" s="59"/>
      <c r="AB16" s="59"/>
      <c r="AC16" s="53" t="s">
        <v>14</v>
      </c>
      <c r="AD16" s="109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ht="19" customHeight="1" spans="1:48">
      <c r="A17" s="107" t="s">
        <v>27</v>
      </c>
      <c r="B17" s="70">
        <v>58</v>
      </c>
      <c r="C17" s="70">
        <v>54</v>
      </c>
      <c r="D17" s="70">
        <v>64</v>
      </c>
      <c r="E17" s="70">
        <v>66</v>
      </c>
      <c r="F17" s="70">
        <v>25</v>
      </c>
      <c r="G17" s="70">
        <v>91</v>
      </c>
      <c r="H17" s="70">
        <v>267</v>
      </c>
      <c r="I17" s="70">
        <v>56</v>
      </c>
      <c r="J17" s="70">
        <v>58</v>
      </c>
      <c r="K17" s="70">
        <v>48</v>
      </c>
      <c r="L17" s="70">
        <v>45</v>
      </c>
      <c r="M17" s="70">
        <v>36</v>
      </c>
      <c r="N17" s="70">
        <v>81</v>
      </c>
      <c r="O17" s="70">
        <v>243</v>
      </c>
      <c r="P17" s="108">
        <v>44</v>
      </c>
      <c r="Q17" s="108">
        <v>56</v>
      </c>
      <c r="R17" s="108">
        <v>62</v>
      </c>
      <c r="S17" s="108">
        <v>59</v>
      </c>
      <c r="T17" s="108">
        <v>34</v>
      </c>
      <c r="U17" s="108">
        <v>93</v>
      </c>
      <c r="V17" s="108">
        <v>255</v>
      </c>
      <c r="W17" s="59">
        <v>48</v>
      </c>
      <c r="X17" s="59">
        <v>72</v>
      </c>
      <c r="Y17" s="59">
        <v>52</v>
      </c>
      <c r="Z17" s="59">
        <v>44</v>
      </c>
      <c r="AA17" s="59">
        <v>32</v>
      </c>
      <c r="AB17" s="59">
        <f t="shared" si="0"/>
        <v>76</v>
      </c>
      <c r="AC17" s="59">
        <f t="shared" si="1"/>
        <v>248</v>
      </c>
      <c r="AD17" s="109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ht="19" customHeight="1" spans="1:48">
      <c r="A18" s="72" t="s">
        <v>28</v>
      </c>
      <c r="B18" s="70"/>
      <c r="C18" s="70"/>
      <c r="D18" s="70"/>
      <c r="E18" s="70"/>
      <c r="F18" s="70"/>
      <c r="G18" s="70"/>
      <c r="H18" s="70"/>
      <c r="I18" s="70">
        <v>46</v>
      </c>
      <c r="J18" s="70">
        <v>83</v>
      </c>
      <c r="K18" s="70">
        <v>74</v>
      </c>
      <c r="L18" s="70">
        <v>62</v>
      </c>
      <c r="M18" s="70">
        <v>35</v>
      </c>
      <c r="N18" s="70">
        <v>97</v>
      </c>
      <c r="O18" s="70">
        <v>300</v>
      </c>
      <c r="P18" s="108">
        <v>60</v>
      </c>
      <c r="Q18" s="108">
        <v>36</v>
      </c>
      <c r="R18" s="108">
        <v>78</v>
      </c>
      <c r="S18" s="108">
        <v>49</v>
      </c>
      <c r="T18" s="108">
        <v>32</v>
      </c>
      <c r="U18" s="108">
        <v>81</v>
      </c>
      <c r="V18" s="108">
        <v>255</v>
      </c>
      <c r="W18" s="59">
        <v>70</v>
      </c>
      <c r="X18" s="59">
        <v>31</v>
      </c>
      <c r="Y18" s="59">
        <v>76</v>
      </c>
      <c r="Z18" s="59">
        <v>51</v>
      </c>
      <c r="AA18" s="59">
        <v>32</v>
      </c>
      <c r="AB18" s="59">
        <f t="shared" si="0"/>
        <v>83</v>
      </c>
      <c r="AC18" s="59">
        <f t="shared" si="1"/>
        <v>260</v>
      </c>
      <c r="AD18" s="109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ht="19" customHeight="1" spans="1:48">
      <c r="A19" s="107" t="s">
        <v>29</v>
      </c>
      <c r="B19" s="70">
        <v>60</v>
      </c>
      <c r="C19" s="70">
        <v>66</v>
      </c>
      <c r="D19" s="70">
        <v>50</v>
      </c>
      <c r="E19" s="70">
        <v>44</v>
      </c>
      <c r="F19" s="70">
        <v>20</v>
      </c>
      <c r="G19" s="70">
        <v>64</v>
      </c>
      <c r="H19" s="70">
        <v>240</v>
      </c>
      <c r="I19" s="70">
        <v>60</v>
      </c>
      <c r="J19" s="70">
        <v>57</v>
      </c>
      <c r="K19" s="70">
        <v>58</v>
      </c>
      <c r="L19" s="70">
        <v>40</v>
      </c>
      <c r="M19" s="70">
        <v>28</v>
      </c>
      <c r="N19" s="70">
        <v>68</v>
      </c>
      <c r="O19" s="70">
        <v>243</v>
      </c>
      <c r="P19" s="108">
        <v>68</v>
      </c>
      <c r="Q19" s="108">
        <v>55</v>
      </c>
      <c r="R19" s="108">
        <v>82</v>
      </c>
      <c r="S19" s="108">
        <v>87</v>
      </c>
      <c r="T19" s="108">
        <v>35</v>
      </c>
      <c r="U19" s="108">
        <v>122</v>
      </c>
      <c r="V19" s="108">
        <v>327</v>
      </c>
      <c r="W19" s="59">
        <v>60</v>
      </c>
      <c r="X19" s="59">
        <v>86</v>
      </c>
      <c r="Y19" s="59">
        <v>66</v>
      </c>
      <c r="Z19" s="59">
        <v>77</v>
      </c>
      <c r="AA19" s="59">
        <v>35</v>
      </c>
      <c r="AB19" s="59">
        <f t="shared" si="0"/>
        <v>112</v>
      </c>
      <c r="AC19" s="59">
        <f t="shared" si="1"/>
        <v>324</v>
      </c>
      <c r="AD19" s="109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ht="19" customHeight="1" spans="1:48">
      <c r="A20" s="107" t="s">
        <v>30</v>
      </c>
      <c r="B20" s="70">
        <v>50</v>
      </c>
      <c r="C20" s="70">
        <v>77</v>
      </c>
      <c r="D20" s="70">
        <v>54</v>
      </c>
      <c r="E20" s="70">
        <v>65</v>
      </c>
      <c r="F20" s="70">
        <v>25</v>
      </c>
      <c r="G20" s="70">
        <v>90</v>
      </c>
      <c r="H20" s="70">
        <v>271</v>
      </c>
      <c r="I20" s="70">
        <v>64</v>
      </c>
      <c r="J20" s="70">
        <v>90</v>
      </c>
      <c r="K20" s="70">
        <v>72</v>
      </c>
      <c r="L20" s="70">
        <v>63</v>
      </c>
      <c r="M20" s="70">
        <v>39</v>
      </c>
      <c r="N20" s="70">
        <v>102</v>
      </c>
      <c r="O20" s="70">
        <v>328</v>
      </c>
      <c r="P20" s="108">
        <v>56</v>
      </c>
      <c r="Q20" s="108">
        <v>63</v>
      </c>
      <c r="R20" s="108">
        <v>68</v>
      </c>
      <c r="S20" s="108">
        <v>46</v>
      </c>
      <c r="T20" s="108">
        <v>41</v>
      </c>
      <c r="U20" s="108">
        <v>87</v>
      </c>
      <c r="V20" s="108">
        <v>274</v>
      </c>
      <c r="W20" s="59">
        <v>58</v>
      </c>
      <c r="X20" s="59">
        <v>56</v>
      </c>
      <c r="Y20" s="59">
        <v>72</v>
      </c>
      <c r="Z20" s="59">
        <v>78</v>
      </c>
      <c r="AA20" s="59">
        <v>43</v>
      </c>
      <c r="AB20" s="59">
        <f t="shared" si="0"/>
        <v>121</v>
      </c>
      <c r="AC20" s="59">
        <f t="shared" si="1"/>
        <v>307</v>
      </c>
      <c r="AD20" s="109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ht="19" customHeight="1" spans="1:48">
      <c r="A21" s="107" t="s">
        <v>31</v>
      </c>
      <c r="B21" s="70">
        <v>56</v>
      </c>
      <c r="C21" s="70">
        <v>75</v>
      </c>
      <c r="D21" s="70">
        <v>26</v>
      </c>
      <c r="E21" s="70">
        <v>53</v>
      </c>
      <c r="F21" s="70">
        <v>14</v>
      </c>
      <c r="G21" s="70">
        <v>67</v>
      </c>
      <c r="H21" s="70">
        <v>224</v>
      </c>
      <c r="I21" s="70">
        <v>50</v>
      </c>
      <c r="J21" s="70">
        <v>84</v>
      </c>
      <c r="K21" s="70">
        <v>56</v>
      </c>
      <c r="L21" s="70">
        <v>34</v>
      </c>
      <c r="M21" s="70">
        <v>17</v>
      </c>
      <c r="N21" s="70">
        <v>51</v>
      </c>
      <c r="O21" s="70">
        <v>241</v>
      </c>
      <c r="P21" s="108" t="s">
        <v>14</v>
      </c>
      <c r="Q21" s="108" t="s">
        <v>14</v>
      </c>
      <c r="R21" s="108" t="s">
        <v>14</v>
      </c>
      <c r="S21" s="108" t="s">
        <v>14</v>
      </c>
      <c r="T21" s="108" t="s">
        <v>14</v>
      </c>
      <c r="U21" s="108" t="s">
        <v>14</v>
      </c>
      <c r="V21" s="108" t="s">
        <v>14</v>
      </c>
      <c r="W21" s="59">
        <v>54</v>
      </c>
      <c r="X21" s="59">
        <v>83</v>
      </c>
      <c r="Y21" s="59">
        <v>68</v>
      </c>
      <c r="Z21" s="59">
        <v>67</v>
      </c>
      <c r="AA21" s="59">
        <v>22</v>
      </c>
      <c r="AB21" s="59">
        <f t="shared" si="0"/>
        <v>89</v>
      </c>
      <c r="AC21" s="59">
        <f t="shared" si="1"/>
        <v>294</v>
      </c>
      <c r="AD21" s="109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ht="19" customHeight="1" spans="1:48">
      <c r="A22" s="107" t="s">
        <v>32</v>
      </c>
      <c r="B22" s="70">
        <v>70</v>
      </c>
      <c r="C22" s="70">
        <v>91</v>
      </c>
      <c r="D22" s="70">
        <v>61</v>
      </c>
      <c r="E22" s="70">
        <v>38</v>
      </c>
      <c r="F22" s="70">
        <v>31</v>
      </c>
      <c r="G22" s="70">
        <v>69</v>
      </c>
      <c r="H22" s="70">
        <v>291</v>
      </c>
      <c r="I22" s="70">
        <v>64</v>
      </c>
      <c r="J22" s="70">
        <v>100</v>
      </c>
      <c r="K22" s="70">
        <v>62</v>
      </c>
      <c r="L22" s="70">
        <v>48</v>
      </c>
      <c r="M22" s="70">
        <v>34</v>
      </c>
      <c r="N22" s="70">
        <v>82</v>
      </c>
      <c r="O22" s="70">
        <v>308</v>
      </c>
      <c r="P22" s="108">
        <v>58</v>
      </c>
      <c r="Q22" s="108">
        <v>61</v>
      </c>
      <c r="R22" s="108">
        <v>68</v>
      </c>
      <c r="S22" s="108">
        <v>46</v>
      </c>
      <c r="T22" s="108">
        <v>36</v>
      </c>
      <c r="U22" s="108">
        <v>82</v>
      </c>
      <c r="V22" s="108">
        <v>269</v>
      </c>
      <c r="W22" s="59"/>
      <c r="X22" s="59"/>
      <c r="Y22" s="59"/>
      <c r="Z22" s="59"/>
      <c r="AA22" s="59"/>
      <c r="AB22" s="59"/>
      <c r="AC22" s="53" t="s">
        <v>14</v>
      </c>
      <c r="AD22" s="109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ht="19" customHeight="1" spans="1:48">
      <c r="A23" s="72" t="s">
        <v>33</v>
      </c>
      <c r="B23" s="70">
        <v>78</v>
      </c>
      <c r="C23" s="70">
        <v>93</v>
      </c>
      <c r="D23" s="70">
        <v>67</v>
      </c>
      <c r="E23" s="70">
        <v>85</v>
      </c>
      <c r="F23" s="70">
        <v>31</v>
      </c>
      <c r="G23" s="70">
        <v>116</v>
      </c>
      <c r="H23" s="70">
        <v>354</v>
      </c>
      <c r="I23" s="70">
        <v>72</v>
      </c>
      <c r="J23" s="70">
        <v>100</v>
      </c>
      <c r="K23" s="70">
        <v>76</v>
      </c>
      <c r="L23" s="70">
        <v>91</v>
      </c>
      <c r="M23" s="70">
        <v>39</v>
      </c>
      <c r="N23" s="70">
        <v>130</v>
      </c>
      <c r="O23" s="70">
        <v>378</v>
      </c>
      <c r="P23" s="108">
        <v>82</v>
      </c>
      <c r="Q23" s="108">
        <v>98</v>
      </c>
      <c r="R23" s="108">
        <v>86</v>
      </c>
      <c r="S23" s="108">
        <v>97</v>
      </c>
      <c r="T23" s="108">
        <v>31</v>
      </c>
      <c r="U23" s="108">
        <v>128</v>
      </c>
      <c r="V23" s="108">
        <v>394</v>
      </c>
      <c r="W23" s="59">
        <v>88</v>
      </c>
      <c r="X23" s="59">
        <v>100</v>
      </c>
      <c r="Y23" s="59">
        <v>68</v>
      </c>
      <c r="Z23" s="59">
        <v>82</v>
      </c>
      <c r="AA23" s="59">
        <v>41</v>
      </c>
      <c r="AB23" s="59">
        <f t="shared" si="0"/>
        <v>123</v>
      </c>
      <c r="AC23" s="59">
        <f t="shared" si="1"/>
        <v>379</v>
      </c>
      <c r="AD23" s="109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ht="19" customHeight="1" spans="1:48">
      <c r="A24" s="107" t="s">
        <v>34</v>
      </c>
      <c r="B24" s="70">
        <v>68</v>
      </c>
      <c r="C24" s="70">
        <v>87</v>
      </c>
      <c r="D24" s="70">
        <v>66</v>
      </c>
      <c r="E24" s="70">
        <v>85</v>
      </c>
      <c r="F24" s="70">
        <v>34</v>
      </c>
      <c r="G24" s="70">
        <v>119</v>
      </c>
      <c r="H24" s="70">
        <v>340</v>
      </c>
      <c r="I24" s="70">
        <v>68</v>
      </c>
      <c r="J24" s="70">
        <v>100</v>
      </c>
      <c r="K24" s="70">
        <v>82</v>
      </c>
      <c r="L24" s="70">
        <v>91</v>
      </c>
      <c r="M24" s="70">
        <v>38</v>
      </c>
      <c r="N24" s="70">
        <v>129</v>
      </c>
      <c r="O24" s="70">
        <v>379</v>
      </c>
      <c r="P24" s="108">
        <v>70</v>
      </c>
      <c r="Q24" s="108">
        <v>93</v>
      </c>
      <c r="R24" s="108">
        <v>92</v>
      </c>
      <c r="S24" s="108">
        <v>82</v>
      </c>
      <c r="T24" s="108">
        <v>32</v>
      </c>
      <c r="U24" s="108">
        <v>114</v>
      </c>
      <c r="V24" s="108">
        <v>369</v>
      </c>
      <c r="W24" s="59">
        <v>66</v>
      </c>
      <c r="X24" s="59">
        <v>99</v>
      </c>
      <c r="Y24" s="59">
        <v>78</v>
      </c>
      <c r="Z24" s="59">
        <v>94</v>
      </c>
      <c r="AA24" s="59">
        <v>41</v>
      </c>
      <c r="AB24" s="59">
        <f t="shared" si="0"/>
        <v>135</v>
      </c>
      <c r="AC24" s="59">
        <f t="shared" si="1"/>
        <v>378</v>
      </c>
      <c r="AD24" s="109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ht="19" customHeight="1" spans="1:48">
      <c r="A25" s="107" t="s">
        <v>35</v>
      </c>
      <c r="B25" s="70">
        <v>68</v>
      </c>
      <c r="C25" s="70">
        <v>76</v>
      </c>
      <c r="D25" s="70">
        <v>49</v>
      </c>
      <c r="E25" s="70">
        <v>82</v>
      </c>
      <c r="F25" s="70">
        <v>37</v>
      </c>
      <c r="G25" s="70">
        <v>119</v>
      </c>
      <c r="H25" s="70">
        <v>312</v>
      </c>
      <c r="I25" s="70"/>
      <c r="J25" s="70"/>
      <c r="K25" s="70"/>
      <c r="L25" s="70"/>
      <c r="M25" s="70"/>
      <c r="N25" s="70"/>
      <c r="O25" s="70" t="s">
        <v>14</v>
      </c>
      <c r="P25" s="108" t="s">
        <v>14</v>
      </c>
      <c r="Q25" s="108" t="s">
        <v>14</v>
      </c>
      <c r="R25" s="108" t="s">
        <v>14</v>
      </c>
      <c r="S25" s="108" t="s">
        <v>14</v>
      </c>
      <c r="T25" s="108" t="s">
        <v>14</v>
      </c>
      <c r="U25" s="108" t="s">
        <v>14</v>
      </c>
      <c r="V25" s="108" t="s">
        <v>14</v>
      </c>
      <c r="W25" s="59"/>
      <c r="X25" s="59"/>
      <c r="Y25" s="59"/>
      <c r="Z25" s="59"/>
      <c r="AA25" s="59"/>
      <c r="AB25" s="59"/>
      <c r="AC25" s="53" t="s">
        <v>14</v>
      </c>
      <c r="AD25" s="109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ht="19" customHeight="1" spans="1:48">
      <c r="A26" s="72" t="s">
        <v>36</v>
      </c>
      <c r="B26" s="70">
        <v>64</v>
      </c>
      <c r="C26" s="70">
        <v>72</v>
      </c>
      <c r="D26" s="70">
        <v>74</v>
      </c>
      <c r="E26" s="70">
        <v>69</v>
      </c>
      <c r="F26" s="70">
        <v>29</v>
      </c>
      <c r="G26" s="70">
        <v>98</v>
      </c>
      <c r="H26" s="70">
        <v>308</v>
      </c>
      <c r="I26" s="70">
        <v>70</v>
      </c>
      <c r="J26" s="70">
        <v>78</v>
      </c>
      <c r="K26" s="70">
        <v>70</v>
      </c>
      <c r="L26" s="70">
        <v>39</v>
      </c>
      <c r="M26" s="70">
        <v>35</v>
      </c>
      <c r="N26" s="70">
        <v>74</v>
      </c>
      <c r="O26" s="70">
        <v>292</v>
      </c>
      <c r="P26" s="108">
        <v>68</v>
      </c>
      <c r="Q26" s="108">
        <v>62</v>
      </c>
      <c r="R26" s="108">
        <v>66</v>
      </c>
      <c r="S26" s="108">
        <v>62</v>
      </c>
      <c r="T26" s="108">
        <v>33</v>
      </c>
      <c r="U26" s="108">
        <v>95</v>
      </c>
      <c r="V26" s="108">
        <v>291</v>
      </c>
      <c r="W26" s="59">
        <v>74</v>
      </c>
      <c r="X26" s="59">
        <v>82</v>
      </c>
      <c r="Y26" s="59">
        <v>78</v>
      </c>
      <c r="Z26" s="59">
        <v>60</v>
      </c>
      <c r="AA26" s="59">
        <v>36</v>
      </c>
      <c r="AB26" s="59">
        <f t="shared" si="0"/>
        <v>96</v>
      </c>
      <c r="AC26" s="59">
        <f t="shared" si="1"/>
        <v>330</v>
      </c>
      <c r="AD26" s="109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ht="19" customHeight="1" spans="1:48">
      <c r="A27" s="107" t="s">
        <v>37</v>
      </c>
      <c r="B27" s="72"/>
      <c r="C27" s="72"/>
      <c r="D27" s="72"/>
      <c r="E27" s="72"/>
      <c r="F27" s="72"/>
      <c r="G27" s="72"/>
      <c r="H27" s="72" t="s">
        <v>14</v>
      </c>
      <c r="I27" s="72">
        <v>50</v>
      </c>
      <c r="J27" s="72">
        <v>88</v>
      </c>
      <c r="K27" s="72">
        <v>80</v>
      </c>
      <c r="L27" s="72">
        <v>77</v>
      </c>
      <c r="M27" s="72">
        <v>41</v>
      </c>
      <c r="N27" s="72">
        <v>118</v>
      </c>
      <c r="O27" s="72">
        <v>336</v>
      </c>
      <c r="P27" s="108" t="s">
        <v>14</v>
      </c>
      <c r="Q27" s="108" t="s">
        <v>14</v>
      </c>
      <c r="R27" s="108" t="s">
        <v>14</v>
      </c>
      <c r="S27" s="108" t="s">
        <v>14</v>
      </c>
      <c r="T27" s="108" t="s">
        <v>14</v>
      </c>
      <c r="U27" s="108" t="s">
        <v>14</v>
      </c>
      <c r="V27" s="108" t="s">
        <v>14</v>
      </c>
      <c r="W27" s="59"/>
      <c r="X27" s="59"/>
      <c r="Y27" s="59"/>
      <c r="Z27" s="59"/>
      <c r="AA27" s="59"/>
      <c r="AB27" s="59"/>
      <c r="AC27" s="53" t="s">
        <v>14</v>
      </c>
      <c r="AD27" s="109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ht="19" customHeight="1" spans="1:48">
      <c r="A28" s="107" t="s">
        <v>38</v>
      </c>
      <c r="B28" s="70">
        <v>80</v>
      </c>
      <c r="C28" s="70">
        <v>87</v>
      </c>
      <c r="D28" s="70">
        <v>52</v>
      </c>
      <c r="E28" s="70">
        <v>91</v>
      </c>
      <c r="F28" s="70">
        <v>32</v>
      </c>
      <c r="G28" s="70">
        <v>123</v>
      </c>
      <c r="H28" s="70">
        <v>342</v>
      </c>
      <c r="I28" s="70">
        <v>74</v>
      </c>
      <c r="J28" s="70">
        <v>84</v>
      </c>
      <c r="K28" s="70">
        <v>68</v>
      </c>
      <c r="L28" s="70">
        <v>79</v>
      </c>
      <c r="M28" s="70">
        <v>31</v>
      </c>
      <c r="N28" s="70">
        <v>110</v>
      </c>
      <c r="O28" s="70">
        <v>336</v>
      </c>
      <c r="P28" s="108" t="s">
        <v>14</v>
      </c>
      <c r="Q28" s="108" t="s">
        <v>14</v>
      </c>
      <c r="R28" s="108" t="s">
        <v>14</v>
      </c>
      <c r="S28" s="108" t="s">
        <v>14</v>
      </c>
      <c r="T28" s="108" t="s">
        <v>14</v>
      </c>
      <c r="U28" s="108" t="s">
        <v>14</v>
      </c>
      <c r="V28" s="108" t="s">
        <v>14</v>
      </c>
      <c r="W28" s="59">
        <v>86</v>
      </c>
      <c r="X28" s="59">
        <v>84</v>
      </c>
      <c r="Y28" s="59">
        <v>40</v>
      </c>
      <c r="Z28" s="59">
        <v>75</v>
      </c>
      <c r="AA28" s="59">
        <v>41</v>
      </c>
      <c r="AB28" s="59">
        <f t="shared" si="0"/>
        <v>116</v>
      </c>
      <c r="AC28" s="59">
        <f t="shared" si="1"/>
        <v>326</v>
      </c>
      <c r="AD28" s="109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ht="19" customHeight="1" spans="1:48">
      <c r="A29" s="107" t="s">
        <v>39</v>
      </c>
      <c r="B29" s="72">
        <v>78</v>
      </c>
      <c r="C29" s="72">
        <v>67</v>
      </c>
      <c r="D29" s="72">
        <v>67</v>
      </c>
      <c r="E29" s="72">
        <v>49</v>
      </c>
      <c r="F29" s="72">
        <v>37</v>
      </c>
      <c r="G29" s="72">
        <v>86</v>
      </c>
      <c r="H29" s="72">
        <v>298</v>
      </c>
      <c r="I29" s="72">
        <v>76</v>
      </c>
      <c r="J29" s="72">
        <v>89</v>
      </c>
      <c r="K29" s="72">
        <v>68</v>
      </c>
      <c r="L29" s="72">
        <v>45</v>
      </c>
      <c r="M29" s="72">
        <v>38</v>
      </c>
      <c r="N29" s="72">
        <v>83</v>
      </c>
      <c r="O29" s="72">
        <v>316</v>
      </c>
      <c r="P29" s="108">
        <v>80</v>
      </c>
      <c r="Q29" s="108">
        <v>61</v>
      </c>
      <c r="R29" s="108">
        <v>66</v>
      </c>
      <c r="S29" s="108" t="s">
        <v>14</v>
      </c>
      <c r="T29" s="108" t="s">
        <v>14</v>
      </c>
      <c r="U29" s="108" t="s">
        <v>14</v>
      </c>
      <c r="V29" s="108">
        <v>207</v>
      </c>
      <c r="W29" s="59"/>
      <c r="X29" s="59"/>
      <c r="Y29" s="59"/>
      <c r="Z29" s="59"/>
      <c r="AA29" s="59"/>
      <c r="AB29" s="59"/>
      <c r="AC29" s="53" t="s">
        <v>14</v>
      </c>
      <c r="AD29" s="109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6"/>
  <sheetViews>
    <sheetView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S9" sqref="A1:AG26"/>
    </sheetView>
  </sheetViews>
  <sheetFormatPr defaultColWidth="9.64166666666667" defaultRowHeight="13.5"/>
  <cols>
    <col min="1" max="1" width="8.75" customWidth="1"/>
    <col min="2" max="3" width="5.125" customWidth="1"/>
    <col min="4" max="4" width="8.125" customWidth="1"/>
    <col min="5" max="8" width="8.875" customWidth="1"/>
    <col min="9" max="11" width="5.125" customWidth="1"/>
    <col min="12" max="12" width="11.875" customWidth="1"/>
    <col min="13" max="16" width="8.875" customWidth="1"/>
    <col min="17" max="17" width="5.125" customWidth="1"/>
    <col min="18" max="19" width="7" customWidth="1"/>
    <col min="20" max="24" width="8.125" customWidth="1"/>
    <col min="25" max="25" width="7" customWidth="1"/>
    <col min="26" max="27" width="5.125" customWidth="1"/>
    <col min="28" max="32" width="8.125" customWidth="1"/>
    <col min="33" max="33" width="5.125" customWidth="1"/>
  </cols>
  <sheetData>
    <row r="1" ht="18.75" spans="1:33">
      <c r="A1" s="42"/>
      <c r="B1" s="99" t="s">
        <v>0</v>
      </c>
      <c r="C1" s="100"/>
      <c r="D1" s="100"/>
      <c r="E1" s="100"/>
      <c r="F1" s="100"/>
      <c r="G1" s="100"/>
      <c r="H1" s="100"/>
      <c r="I1" s="100"/>
      <c r="J1" s="99" t="s">
        <v>1</v>
      </c>
      <c r="K1" s="100"/>
      <c r="L1" s="100"/>
      <c r="M1" s="100"/>
      <c r="N1" s="100"/>
      <c r="O1" s="100"/>
      <c r="P1" s="100"/>
      <c r="Q1" s="100"/>
      <c r="R1" s="101" t="s">
        <v>2</v>
      </c>
      <c r="S1" s="102"/>
      <c r="T1" s="102"/>
      <c r="U1" s="102"/>
      <c r="V1" s="102"/>
      <c r="W1" s="102"/>
      <c r="X1" s="102"/>
      <c r="Y1" s="102"/>
      <c r="Z1" s="103" t="s">
        <v>3</v>
      </c>
      <c r="AA1" s="104"/>
      <c r="AB1" s="104"/>
      <c r="AC1" s="104"/>
      <c r="AD1" s="104"/>
      <c r="AE1" s="104"/>
      <c r="AF1" s="104"/>
      <c r="AG1" s="104"/>
    </row>
    <row r="2" ht="27" spans="1:33">
      <c r="A2" s="46" t="s">
        <v>4</v>
      </c>
      <c r="B2" s="16" t="s">
        <v>5</v>
      </c>
      <c r="C2" s="16" t="s">
        <v>6</v>
      </c>
      <c r="D2" s="105" t="s">
        <v>40</v>
      </c>
      <c r="E2" s="16" t="s">
        <v>8</v>
      </c>
      <c r="F2" s="16" t="s">
        <v>9</v>
      </c>
      <c r="G2" s="16" t="s">
        <v>41</v>
      </c>
      <c r="H2" s="16" t="s">
        <v>10</v>
      </c>
      <c r="I2" s="16" t="s">
        <v>11</v>
      </c>
      <c r="J2" s="16" t="s">
        <v>5</v>
      </c>
      <c r="K2" s="16" t="s">
        <v>6</v>
      </c>
      <c r="L2" s="105" t="s">
        <v>40</v>
      </c>
      <c r="M2" s="16" t="s">
        <v>8</v>
      </c>
      <c r="N2" s="16" t="s">
        <v>9</v>
      </c>
      <c r="O2" s="16" t="s">
        <v>41</v>
      </c>
      <c r="P2" s="16" t="s">
        <v>10</v>
      </c>
      <c r="Q2" s="16" t="s">
        <v>11</v>
      </c>
      <c r="R2" s="55" t="s">
        <v>5</v>
      </c>
      <c r="S2" s="55" t="s">
        <v>6</v>
      </c>
      <c r="T2" s="106" t="s">
        <v>40</v>
      </c>
      <c r="U2" s="106" t="s">
        <v>42</v>
      </c>
      <c r="V2" s="106" t="s">
        <v>43</v>
      </c>
      <c r="W2" s="106" t="s">
        <v>44</v>
      </c>
      <c r="X2" s="106" t="s">
        <v>45</v>
      </c>
      <c r="Y2" s="55" t="s">
        <v>11</v>
      </c>
      <c r="Z2" s="55" t="s">
        <v>5</v>
      </c>
      <c r="AA2" s="55" t="s">
        <v>6</v>
      </c>
      <c r="AB2" s="106" t="s">
        <v>40</v>
      </c>
      <c r="AC2" s="106" t="s">
        <v>42</v>
      </c>
      <c r="AD2" s="106" t="s">
        <v>43</v>
      </c>
      <c r="AE2" s="106" t="s">
        <v>44</v>
      </c>
      <c r="AF2" s="106" t="s">
        <v>45</v>
      </c>
      <c r="AG2" s="55" t="s">
        <v>11</v>
      </c>
    </row>
    <row r="3" ht="18.75" spans="1:33">
      <c r="A3" s="46" t="s">
        <v>46</v>
      </c>
      <c r="B3" s="55">
        <v>82</v>
      </c>
      <c r="C3" s="55">
        <v>76</v>
      </c>
      <c r="D3" s="55">
        <v>80</v>
      </c>
      <c r="E3" s="55">
        <v>54</v>
      </c>
      <c r="F3" s="55">
        <v>35</v>
      </c>
      <c r="G3" s="55">
        <v>33</v>
      </c>
      <c r="H3" s="55">
        <v>122</v>
      </c>
      <c r="I3" s="55">
        <v>360</v>
      </c>
      <c r="J3" s="2">
        <v>74</v>
      </c>
      <c r="K3" s="2">
        <v>57</v>
      </c>
      <c r="L3" s="2">
        <v>92</v>
      </c>
      <c r="M3" s="2">
        <v>29</v>
      </c>
      <c r="N3" s="2">
        <v>41</v>
      </c>
      <c r="O3" s="2">
        <v>30</v>
      </c>
      <c r="P3" s="2">
        <v>100</v>
      </c>
      <c r="Q3" s="2">
        <v>323</v>
      </c>
      <c r="R3" s="55">
        <v>80</v>
      </c>
      <c r="S3" s="55">
        <v>75</v>
      </c>
      <c r="T3" s="55">
        <v>90</v>
      </c>
      <c r="U3" s="55">
        <v>37</v>
      </c>
      <c r="V3" s="55">
        <v>40</v>
      </c>
      <c r="W3" s="55">
        <v>29</v>
      </c>
      <c r="X3" s="55">
        <v>106</v>
      </c>
      <c r="Y3" s="55">
        <v>351</v>
      </c>
      <c r="Z3" s="55">
        <v>82</v>
      </c>
      <c r="AA3" s="55">
        <v>75</v>
      </c>
      <c r="AB3" s="55">
        <v>84</v>
      </c>
      <c r="AC3" s="55">
        <v>47</v>
      </c>
      <c r="AD3" s="55">
        <v>34</v>
      </c>
      <c r="AE3" s="55">
        <v>29</v>
      </c>
      <c r="AF3" s="55">
        <v>110</v>
      </c>
      <c r="AG3" s="55">
        <v>351</v>
      </c>
    </row>
    <row r="4" ht="18.75" spans="1:33">
      <c r="A4" s="46" t="s">
        <v>47</v>
      </c>
      <c r="B4" s="55">
        <v>62</v>
      </c>
      <c r="C4" s="55">
        <v>72</v>
      </c>
      <c r="D4" s="55">
        <v>68</v>
      </c>
      <c r="E4" s="55">
        <v>40</v>
      </c>
      <c r="F4" s="55">
        <v>42</v>
      </c>
      <c r="G4" s="55">
        <v>27</v>
      </c>
      <c r="H4" s="55">
        <v>109</v>
      </c>
      <c r="I4" s="55">
        <v>311</v>
      </c>
      <c r="J4" s="2">
        <v>64</v>
      </c>
      <c r="K4" s="2">
        <v>78</v>
      </c>
      <c r="L4" s="2">
        <v>86</v>
      </c>
      <c r="M4" s="2">
        <v>27</v>
      </c>
      <c r="N4" s="2">
        <v>34</v>
      </c>
      <c r="O4" s="2">
        <v>25</v>
      </c>
      <c r="P4" s="2">
        <v>86</v>
      </c>
      <c r="Q4" s="2">
        <v>314</v>
      </c>
      <c r="R4" s="55">
        <v>70</v>
      </c>
      <c r="S4" s="55">
        <v>67</v>
      </c>
      <c r="T4" s="55">
        <v>68</v>
      </c>
      <c r="U4" s="55">
        <v>32</v>
      </c>
      <c r="V4" s="55">
        <v>30</v>
      </c>
      <c r="W4" s="55">
        <v>18</v>
      </c>
      <c r="X4" s="55">
        <v>80</v>
      </c>
      <c r="Y4" s="55">
        <v>285</v>
      </c>
      <c r="Z4" s="55">
        <v>76</v>
      </c>
      <c r="AA4" s="55">
        <v>83</v>
      </c>
      <c r="AB4" s="55">
        <v>81</v>
      </c>
      <c r="AC4" s="55">
        <v>24</v>
      </c>
      <c r="AD4" s="55">
        <v>36</v>
      </c>
      <c r="AE4" s="55">
        <v>11</v>
      </c>
      <c r="AF4" s="55">
        <v>71</v>
      </c>
      <c r="AG4" s="55">
        <v>311</v>
      </c>
    </row>
    <row r="5" ht="18.75" spans="1:33">
      <c r="A5" s="46" t="s">
        <v>48</v>
      </c>
      <c r="B5" s="55"/>
      <c r="C5" s="55"/>
      <c r="D5" s="55"/>
      <c r="E5" s="55"/>
      <c r="F5" s="55"/>
      <c r="G5" s="55"/>
      <c r="H5" s="55"/>
      <c r="I5" s="55"/>
      <c r="J5" s="2"/>
      <c r="K5" s="2"/>
      <c r="L5" s="2"/>
      <c r="M5" s="2"/>
      <c r="N5" s="2"/>
      <c r="O5" s="2"/>
      <c r="P5" s="2"/>
      <c r="Q5" s="2"/>
      <c r="R5" s="16" t="s">
        <v>49</v>
      </c>
      <c r="S5" s="16" t="s">
        <v>49</v>
      </c>
      <c r="T5" s="16" t="s">
        <v>49</v>
      </c>
      <c r="U5" s="16" t="s">
        <v>49</v>
      </c>
      <c r="V5" s="16" t="s">
        <v>49</v>
      </c>
      <c r="W5" s="16" t="s">
        <v>49</v>
      </c>
      <c r="X5" s="16" t="s">
        <v>49</v>
      </c>
      <c r="Y5" s="16" t="s">
        <v>49</v>
      </c>
      <c r="Z5" s="55" t="s">
        <v>50</v>
      </c>
      <c r="AA5" s="55" t="s">
        <v>50</v>
      </c>
      <c r="AB5" s="55" t="s">
        <v>50</v>
      </c>
      <c r="AC5" s="55" t="s">
        <v>50</v>
      </c>
      <c r="AD5" s="55" t="s">
        <v>50</v>
      </c>
      <c r="AE5" s="55" t="s">
        <v>50</v>
      </c>
      <c r="AF5" s="55" t="s">
        <v>50</v>
      </c>
      <c r="AG5" s="55" t="s">
        <v>50</v>
      </c>
    </row>
    <row r="6" ht="18.75" spans="1:33">
      <c r="A6" s="46" t="s">
        <v>51</v>
      </c>
      <c r="B6" s="55">
        <v>90</v>
      </c>
      <c r="C6" s="55">
        <v>97</v>
      </c>
      <c r="D6" s="55">
        <v>94</v>
      </c>
      <c r="E6" s="55">
        <v>54</v>
      </c>
      <c r="F6" s="55">
        <v>40</v>
      </c>
      <c r="G6" s="55">
        <v>34</v>
      </c>
      <c r="H6" s="55">
        <v>128</v>
      </c>
      <c r="I6" s="55">
        <v>409</v>
      </c>
      <c r="J6" s="2" t="s">
        <v>50</v>
      </c>
      <c r="K6" s="2" t="s">
        <v>50</v>
      </c>
      <c r="L6" s="2" t="s">
        <v>50</v>
      </c>
      <c r="M6" s="2" t="s">
        <v>50</v>
      </c>
      <c r="N6" s="2" t="s">
        <v>50</v>
      </c>
      <c r="O6" s="2" t="s">
        <v>50</v>
      </c>
      <c r="P6" s="2" t="s">
        <v>50</v>
      </c>
      <c r="Q6" s="2" t="s">
        <v>50</v>
      </c>
      <c r="R6" s="55">
        <v>94</v>
      </c>
      <c r="S6" s="55">
        <v>93</v>
      </c>
      <c r="T6" s="55">
        <v>88</v>
      </c>
      <c r="U6" s="55">
        <v>50</v>
      </c>
      <c r="V6" s="55">
        <v>42</v>
      </c>
      <c r="W6" s="55">
        <v>32</v>
      </c>
      <c r="X6" s="55">
        <v>124</v>
      </c>
      <c r="Y6" s="55">
        <v>399</v>
      </c>
      <c r="Z6" s="55">
        <v>98</v>
      </c>
      <c r="AA6" s="55">
        <v>96</v>
      </c>
      <c r="AB6" s="55">
        <v>94</v>
      </c>
      <c r="AC6" s="55">
        <v>46</v>
      </c>
      <c r="AD6" s="55">
        <v>45</v>
      </c>
      <c r="AE6" s="55">
        <v>40</v>
      </c>
      <c r="AF6" s="55">
        <v>131</v>
      </c>
      <c r="AG6" s="55">
        <v>419</v>
      </c>
    </row>
    <row r="7" ht="18.75" spans="1:33">
      <c r="A7" s="46" t="s">
        <v>52</v>
      </c>
      <c r="B7" s="55">
        <v>76</v>
      </c>
      <c r="C7" s="55">
        <v>77</v>
      </c>
      <c r="D7" s="55">
        <v>92</v>
      </c>
      <c r="E7" s="55">
        <v>43</v>
      </c>
      <c r="F7" s="55">
        <v>35</v>
      </c>
      <c r="G7" s="55">
        <v>30</v>
      </c>
      <c r="H7" s="55">
        <v>108</v>
      </c>
      <c r="I7" s="55">
        <v>353</v>
      </c>
      <c r="J7" s="2">
        <v>66</v>
      </c>
      <c r="K7" s="2">
        <v>60</v>
      </c>
      <c r="L7" s="2">
        <v>83</v>
      </c>
      <c r="M7" s="2">
        <v>32</v>
      </c>
      <c r="N7" s="2">
        <v>36</v>
      </c>
      <c r="O7" s="2">
        <v>33</v>
      </c>
      <c r="P7" s="2">
        <v>101</v>
      </c>
      <c r="Q7" s="2">
        <v>310</v>
      </c>
      <c r="R7" s="55">
        <v>88</v>
      </c>
      <c r="S7" s="55">
        <v>77</v>
      </c>
      <c r="T7" s="55">
        <v>79</v>
      </c>
      <c r="U7" s="55">
        <v>38</v>
      </c>
      <c r="V7" s="55">
        <v>40</v>
      </c>
      <c r="W7" s="55">
        <v>26</v>
      </c>
      <c r="X7" s="55">
        <v>104</v>
      </c>
      <c r="Y7" s="55">
        <v>348</v>
      </c>
      <c r="Z7" s="55">
        <v>76</v>
      </c>
      <c r="AA7" s="55">
        <v>85</v>
      </c>
      <c r="AB7" s="55">
        <v>75</v>
      </c>
      <c r="AC7" s="55">
        <v>24</v>
      </c>
      <c r="AD7" s="55">
        <v>33</v>
      </c>
      <c r="AE7" s="55">
        <v>11</v>
      </c>
      <c r="AF7" s="55">
        <v>68</v>
      </c>
      <c r="AG7" s="55">
        <v>304</v>
      </c>
    </row>
    <row r="8" ht="18.75" spans="1:33">
      <c r="A8" s="46" t="s">
        <v>53</v>
      </c>
      <c r="B8" s="55">
        <v>78</v>
      </c>
      <c r="C8" s="55">
        <v>83</v>
      </c>
      <c r="D8" s="55">
        <v>33</v>
      </c>
      <c r="E8" s="55">
        <v>48</v>
      </c>
      <c r="F8" s="55">
        <v>34</v>
      </c>
      <c r="G8" s="55">
        <v>29</v>
      </c>
      <c r="H8" s="55">
        <v>111</v>
      </c>
      <c r="I8" s="55">
        <v>305</v>
      </c>
      <c r="J8" s="2" t="s">
        <v>50</v>
      </c>
      <c r="K8" s="2" t="s">
        <v>50</v>
      </c>
      <c r="L8" s="2" t="s">
        <v>50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55">
        <v>70</v>
      </c>
      <c r="S8" s="55">
        <v>81</v>
      </c>
      <c r="T8" s="55">
        <v>47</v>
      </c>
      <c r="U8" s="55">
        <v>27</v>
      </c>
      <c r="V8" s="55">
        <v>41</v>
      </c>
      <c r="W8" s="55">
        <v>16</v>
      </c>
      <c r="X8" s="55">
        <v>84</v>
      </c>
      <c r="Y8" s="55">
        <v>282</v>
      </c>
      <c r="Z8" s="55">
        <v>90</v>
      </c>
      <c r="AA8" s="55">
        <v>74</v>
      </c>
      <c r="AB8" s="55">
        <v>58</v>
      </c>
      <c r="AC8" s="55">
        <v>27</v>
      </c>
      <c r="AD8" s="55">
        <v>35</v>
      </c>
      <c r="AE8" s="55">
        <v>34</v>
      </c>
      <c r="AF8" s="55">
        <v>96</v>
      </c>
      <c r="AG8" s="55">
        <v>318</v>
      </c>
    </row>
    <row r="9" ht="18.75" spans="1:33">
      <c r="A9" s="46" t="s">
        <v>54</v>
      </c>
      <c r="B9" s="55">
        <v>86</v>
      </c>
      <c r="C9" s="55">
        <v>96</v>
      </c>
      <c r="D9" s="55">
        <v>91</v>
      </c>
      <c r="E9" s="55">
        <v>45</v>
      </c>
      <c r="F9" s="55">
        <v>39</v>
      </c>
      <c r="G9" s="55">
        <v>33</v>
      </c>
      <c r="H9" s="55">
        <v>117</v>
      </c>
      <c r="I9" s="55">
        <v>390</v>
      </c>
      <c r="J9" s="2">
        <v>88</v>
      </c>
      <c r="K9" s="2">
        <v>88</v>
      </c>
      <c r="L9" s="2">
        <v>94</v>
      </c>
      <c r="M9" s="2">
        <v>27</v>
      </c>
      <c r="N9" s="2">
        <v>39</v>
      </c>
      <c r="O9" s="2">
        <v>31</v>
      </c>
      <c r="P9" s="2">
        <v>97</v>
      </c>
      <c r="Q9" s="2">
        <v>367</v>
      </c>
      <c r="R9" s="55">
        <v>94</v>
      </c>
      <c r="S9" s="55">
        <v>99</v>
      </c>
      <c r="T9" s="55">
        <v>88</v>
      </c>
      <c r="U9" s="55">
        <v>44</v>
      </c>
      <c r="V9" s="55">
        <v>36</v>
      </c>
      <c r="W9" s="55">
        <v>27</v>
      </c>
      <c r="X9" s="55">
        <v>107</v>
      </c>
      <c r="Y9" s="55">
        <v>388</v>
      </c>
      <c r="Z9" s="55">
        <v>96</v>
      </c>
      <c r="AA9" s="55">
        <v>96</v>
      </c>
      <c r="AB9" s="55">
        <v>88</v>
      </c>
      <c r="AC9" s="55">
        <v>46</v>
      </c>
      <c r="AD9" s="55">
        <v>45</v>
      </c>
      <c r="AE9" s="55">
        <v>38</v>
      </c>
      <c r="AF9" s="55">
        <v>129</v>
      </c>
      <c r="AG9" s="55">
        <v>409</v>
      </c>
    </row>
    <row r="10" ht="18.75" spans="1:33">
      <c r="A10" s="46" t="s">
        <v>55</v>
      </c>
      <c r="B10" s="55">
        <v>64</v>
      </c>
      <c r="C10" s="55">
        <v>86</v>
      </c>
      <c r="D10" s="55">
        <v>62</v>
      </c>
      <c r="E10" s="55">
        <v>42</v>
      </c>
      <c r="F10" s="55">
        <v>33</v>
      </c>
      <c r="G10" s="55">
        <v>23</v>
      </c>
      <c r="H10" s="55">
        <v>98</v>
      </c>
      <c r="I10" s="55">
        <v>310</v>
      </c>
      <c r="J10" s="2">
        <v>58</v>
      </c>
      <c r="K10" s="2">
        <v>77</v>
      </c>
      <c r="L10" s="2">
        <v>74</v>
      </c>
      <c r="M10" s="2">
        <v>33</v>
      </c>
      <c r="N10" s="2">
        <v>32</v>
      </c>
      <c r="O10" s="2">
        <v>28</v>
      </c>
      <c r="P10" s="2">
        <v>93</v>
      </c>
      <c r="Q10" s="2">
        <v>302</v>
      </c>
      <c r="R10" s="55">
        <v>72</v>
      </c>
      <c r="S10" s="55">
        <v>84</v>
      </c>
      <c r="T10" s="55">
        <v>76</v>
      </c>
      <c r="U10" s="55">
        <v>26</v>
      </c>
      <c r="V10" s="55">
        <v>28</v>
      </c>
      <c r="W10" s="55">
        <v>27</v>
      </c>
      <c r="X10" s="55">
        <v>81</v>
      </c>
      <c r="Y10" s="55">
        <v>313</v>
      </c>
      <c r="Z10" s="55">
        <v>84</v>
      </c>
      <c r="AA10" s="55">
        <v>86</v>
      </c>
      <c r="AB10" s="55">
        <v>63</v>
      </c>
      <c r="AC10" s="55">
        <v>24</v>
      </c>
      <c r="AD10" s="55">
        <v>27</v>
      </c>
      <c r="AE10" s="55">
        <v>5</v>
      </c>
      <c r="AF10" s="55">
        <v>56</v>
      </c>
      <c r="AG10" s="55">
        <v>289</v>
      </c>
    </row>
    <row r="11" ht="18.75" spans="1:33">
      <c r="A11" s="46" t="s">
        <v>56</v>
      </c>
      <c r="B11" s="55">
        <v>82</v>
      </c>
      <c r="C11" s="55">
        <v>99</v>
      </c>
      <c r="D11" s="55">
        <v>77</v>
      </c>
      <c r="E11" s="55">
        <v>55</v>
      </c>
      <c r="F11" s="55">
        <v>37</v>
      </c>
      <c r="G11" s="55">
        <v>30</v>
      </c>
      <c r="H11" s="55">
        <v>122</v>
      </c>
      <c r="I11" s="55">
        <v>380</v>
      </c>
      <c r="J11" s="2">
        <v>72</v>
      </c>
      <c r="K11" s="2">
        <v>96</v>
      </c>
      <c r="L11" s="2">
        <v>92</v>
      </c>
      <c r="M11" s="2">
        <v>38</v>
      </c>
      <c r="N11" s="2">
        <v>40</v>
      </c>
      <c r="O11" s="2">
        <v>25</v>
      </c>
      <c r="P11" s="2">
        <v>103</v>
      </c>
      <c r="Q11" s="2">
        <v>363</v>
      </c>
      <c r="R11" s="55">
        <v>86</v>
      </c>
      <c r="S11" s="55">
        <v>93</v>
      </c>
      <c r="T11" s="55">
        <v>87</v>
      </c>
      <c r="U11" s="55">
        <v>49</v>
      </c>
      <c r="V11" s="55">
        <v>42</v>
      </c>
      <c r="W11" s="55">
        <v>28</v>
      </c>
      <c r="X11" s="55">
        <v>119</v>
      </c>
      <c r="Y11" s="55">
        <v>385</v>
      </c>
      <c r="Z11" s="55">
        <v>78</v>
      </c>
      <c r="AA11" s="55">
        <v>93</v>
      </c>
      <c r="AB11" s="55">
        <v>83</v>
      </c>
      <c r="AC11" s="55">
        <v>39</v>
      </c>
      <c r="AD11" s="55">
        <v>40</v>
      </c>
      <c r="AE11" s="55">
        <v>34</v>
      </c>
      <c r="AF11" s="55">
        <v>113</v>
      </c>
      <c r="AG11" s="55">
        <v>367</v>
      </c>
    </row>
    <row r="12" ht="18.75" spans="1:33">
      <c r="A12" s="46" t="s">
        <v>57</v>
      </c>
      <c r="B12" s="55" t="s">
        <v>50</v>
      </c>
      <c r="C12" s="55" t="s">
        <v>50</v>
      </c>
      <c r="D12" s="55" t="s">
        <v>50</v>
      </c>
      <c r="E12" s="55" t="s">
        <v>50</v>
      </c>
      <c r="F12" s="55" t="s">
        <v>50</v>
      </c>
      <c r="G12" s="55" t="s">
        <v>50</v>
      </c>
      <c r="H12" s="55" t="s">
        <v>50</v>
      </c>
      <c r="I12" s="55" t="s">
        <v>50</v>
      </c>
      <c r="J12" s="2" t="s">
        <v>50</v>
      </c>
      <c r="K12" s="2" t="s">
        <v>50</v>
      </c>
      <c r="L12" s="2" t="s">
        <v>50</v>
      </c>
      <c r="M12" s="2" t="s">
        <v>50</v>
      </c>
      <c r="N12" s="2" t="s">
        <v>50</v>
      </c>
      <c r="O12" s="2" t="s">
        <v>50</v>
      </c>
      <c r="P12" s="2" t="s">
        <v>50</v>
      </c>
      <c r="Q12" s="2" t="s">
        <v>50</v>
      </c>
      <c r="R12" s="55" t="s">
        <v>50</v>
      </c>
      <c r="S12" s="55" t="s">
        <v>50</v>
      </c>
      <c r="T12" s="55" t="s">
        <v>50</v>
      </c>
      <c r="U12" s="55" t="s">
        <v>50</v>
      </c>
      <c r="V12" s="55" t="s">
        <v>50</v>
      </c>
      <c r="W12" s="55" t="s">
        <v>50</v>
      </c>
      <c r="X12" s="55" t="s">
        <v>50</v>
      </c>
      <c r="Y12" s="55" t="s">
        <v>50</v>
      </c>
      <c r="Z12" s="55">
        <v>86</v>
      </c>
      <c r="AA12" s="55">
        <v>84</v>
      </c>
      <c r="AB12" s="55">
        <v>89</v>
      </c>
      <c r="AC12" s="55">
        <v>24</v>
      </c>
      <c r="AD12" s="55">
        <v>40</v>
      </c>
      <c r="AE12" s="55">
        <v>36</v>
      </c>
      <c r="AF12" s="55">
        <v>100</v>
      </c>
      <c r="AG12" s="55">
        <v>359</v>
      </c>
    </row>
    <row r="13" ht="18.75" spans="1:33">
      <c r="A13" s="46" t="s">
        <v>58</v>
      </c>
      <c r="B13" s="55">
        <v>64</v>
      </c>
      <c r="C13" s="55">
        <v>79</v>
      </c>
      <c r="D13" s="55">
        <v>40</v>
      </c>
      <c r="E13" s="55">
        <v>47</v>
      </c>
      <c r="F13" s="55">
        <v>36</v>
      </c>
      <c r="G13" s="55">
        <v>27</v>
      </c>
      <c r="H13" s="55">
        <v>110</v>
      </c>
      <c r="I13" s="55">
        <v>293</v>
      </c>
      <c r="J13" s="2">
        <v>64</v>
      </c>
      <c r="K13" s="2">
        <v>72</v>
      </c>
      <c r="L13" s="2">
        <v>52</v>
      </c>
      <c r="M13" s="2">
        <v>32</v>
      </c>
      <c r="N13" s="2">
        <v>40</v>
      </c>
      <c r="O13" s="2">
        <v>29</v>
      </c>
      <c r="P13" s="2">
        <v>101</v>
      </c>
      <c r="Q13" s="2">
        <v>289</v>
      </c>
      <c r="R13" s="55">
        <v>66</v>
      </c>
      <c r="S13" s="55">
        <v>67</v>
      </c>
      <c r="T13" s="55">
        <v>74</v>
      </c>
      <c r="U13" s="55">
        <v>43</v>
      </c>
      <c r="V13" s="55">
        <v>40</v>
      </c>
      <c r="W13" s="55">
        <v>24</v>
      </c>
      <c r="X13" s="55">
        <v>107</v>
      </c>
      <c r="Y13" s="55">
        <v>314</v>
      </c>
      <c r="Z13" s="55">
        <v>80</v>
      </c>
      <c r="AA13" s="55">
        <v>77</v>
      </c>
      <c r="AB13" s="55">
        <v>55</v>
      </c>
      <c r="AC13" s="55">
        <v>27</v>
      </c>
      <c r="AD13" s="55">
        <v>39</v>
      </c>
      <c r="AE13" s="55">
        <v>21</v>
      </c>
      <c r="AF13" s="55">
        <v>87</v>
      </c>
      <c r="AG13" s="55">
        <v>299</v>
      </c>
    </row>
    <row r="14" ht="18.75" spans="1:33">
      <c r="A14" s="46" t="s">
        <v>59</v>
      </c>
      <c r="B14" s="55">
        <v>74</v>
      </c>
      <c r="C14" s="55">
        <v>74</v>
      </c>
      <c r="D14" s="55">
        <v>77</v>
      </c>
      <c r="E14" s="55">
        <v>41</v>
      </c>
      <c r="F14" s="55">
        <v>33</v>
      </c>
      <c r="G14" s="55">
        <v>25</v>
      </c>
      <c r="H14" s="55">
        <v>99</v>
      </c>
      <c r="I14" s="55">
        <v>324</v>
      </c>
      <c r="J14" s="2">
        <v>68</v>
      </c>
      <c r="K14" s="2">
        <v>59</v>
      </c>
      <c r="L14" s="2">
        <v>86</v>
      </c>
      <c r="M14" s="2">
        <v>26</v>
      </c>
      <c r="N14" s="2">
        <v>39</v>
      </c>
      <c r="O14" s="2">
        <v>29</v>
      </c>
      <c r="P14" s="2">
        <v>94</v>
      </c>
      <c r="Q14" s="2">
        <v>307</v>
      </c>
      <c r="R14" s="55">
        <v>64</v>
      </c>
      <c r="S14" s="55">
        <v>70</v>
      </c>
      <c r="T14" s="55">
        <v>84</v>
      </c>
      <c r="U14" s="55">
        <v>41</v>
      </c>
      <c r="V14" s="55">
        <v>36</v>
      </c>
      <c r="W14" s="55">
        <v>28</v>
      </c>
      <c r="X14" s="55">
        <v>105</v>
      </c>
      <c r="Y14" s="55">
        <v>323</v>
      </c>
      <c r="Z14" s="55">
        <v>82</v>
      </c>
      <c r="AA14" s="55">
        <v>73</v>
      </c>
      <c r="AB14" s="55">
        <v>77</v>
      </c>
      <c r="AC14" s="55">
        <v>32</v>
      </c>
      <c r="AD14" s="55">
        <v>39</v>
      </c>
      <c r="AE14" s="55">
        <v>7</v>
      </c>
      <c r="AF14" s="55">
        <v>78</v>
      </c>
      <c r="AG14" s="55">
        <v>310</v>
      </c>
    </row>
    <row r="15" ht="18.75" spans="1:33">
      <c r="A15" s="46" t="s">
        <v>60</v>
      </c>
      <c r="B15" s="55" t="s">
        <v>50</v>
      </c>
      <c r="C15" s="55" t="s">
        <v>50</v>
      </c>
      <c r="D15" s="55" t="s">
        <v>50</v>
      </c>
      <c r="E15" s="55" t="s">
        <v>50</v>
      </c>
      <c r="F15" s="55" t="s">
        <v>50</v>
      </c>
      <c r="G15" s="55" t="s">
        <v>50</v>
      </c>
      <c r="H15" s="55" t="s">
        <v>50</v>
      </c>
      <c r="I15" s="55" t="s">
        <v>50</v>
      </c>
      <c r="J15" s="2" t="s">
        <v>50</v>
      </c>
      <c r="K15" s="2" t="s">
        <v>50</v>
      </c>
      <c r="L15" s="2" t="s">
        <v>50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55">
        <v>48</v>
      </c>
      <c r="S15" s="55">
        <v>67</v>
      </c>
      <c r="T15" s="55">
        <v>80</v>
      </c>
      <c r="U15" s="55">
        <v>21</v>
      </c>
      <c r="V15" s="55">
        <v>37</v>
      </c>
      <c r="W15" s="55">
        <v>29</v>
      </c>
      <c r="X15" s="55">
        <v>87</v>
      </c>
      <c r="Y15" s="55">
        <v>282</v>
      </c>
      <c r="Z15" s="55" t="s">
        <v>50</v>
      </c>
      <c r="AA15" s="55" t="s">
        <v>50</v>
      </c>
      <c r="AB15" s="55" t="s">
        <v>50</v>
      </c>
      <c r="AC15" s="55" t="s">
        <v>50</v>
      </c>
      <c r="AD15" s="55" t="s">
        <v>50</v>
      </c>
      <c r="AE15" s="55" t="s">
        <v>50</v>
      </c>
      <c r="AF15" s="55" t="s">
        <v>50</v>
      </c>
      <c r="AG15" s="55" t="s">
        <v>50</v>
      </c>
    </row>
    <row r="16" ht="18.75" spans="1:33">
      <c r="A16" s="46" t="s">
        <v>61</v>
      </c>
      <c r="B16" s="55">
        <v>66</v>
      </c>
      <c r="C16" s="55">
        <v>65</v>
      </c>
      <c r="D16" s="55">
        <v>38</v>
      </c>
      <c r="E16" s="55">
        <v>42</v>
      </c>
      <c r="F16" s="55">
        <v>35</v>
      </c>
      <c r="G16" s="55">
        <v>31</v>
      </c>
      <c r="H16" s="55">
        <v>108</v>
      </c>
      <c r="I16" s="55">
        <v>277</v>
      </c>
      <c r="J16" s="2">
        <v>58</v>
      </c>
      <c r="K16" s="2">
        <v>63</v>
      </c>
      <c r="L16" s="2">
        <v>27</v>
      </c>
      <c r="M16" s="2">
        <v>38</v>
      </c>
      <c r="N16" s="2">
        <v>40</v>
      </c>
      <c r="O16" s="2">
        <v>24</v>
      </c>
      <c r="P16" s="2">
        <v>102</v>
      </c>
      <c r="Q16" s="2">
        <v>250</v>
      </c>
      <c r="R16" s="55">
        <v>70</v>
      </c>
      <c r="S16" s="55">
        <v>65</v>
      </c>
      <c r="T16" s="55">
        <v>42</v>
      </c>
      <c r="U16" s="55">
        <v>41</v>
      </c>
      <c r="V16" s="55">
        <v>34</v>
      </c>
      <c r="W16" s="55">
        <v>23</v>
      </c>
      <c r="X16" s="55">
        <v>98</v>
      </c>
      <c r="Y16" s="55">
        <v>275</v>
      </c>
      <c r="Z16" s="55">
        <v>72</v>
      </c>
      <c r="AA16" s="55">
        <v>52</v>
      </c>
      <c r="AB16" s="55">
        <v>33</v>
      </c>
      <c r="AC16" s="55">
        <v>41</v>
      </c>
      <c r="AD16" s="55">
        <v>32</v>
      </c>
      <c r="AE16" s="55">
        <v>27</v>
      </c>
      <c r="AF16" s="55">
        <v>100</v>
      </c>
      <c r="AG16" s="55">
        <v>257</v>
      </c>
    </row>
    <row r="17" ht="18.75" spans="1:33">
      <c r="A17" s="46" t="s">
        <v>62</v>
      </c>
      <c r="B17" s="55" t="s">
        <v>50</v>
      </c>
      <c r="C17" s="55" t="s">
        <v>50</v>
      </c>
      <c r="D17" s="55" t="s">
        <v>50</v>
      </c>
      <c r="E17" s="55" t="s">
        <v>50</v>
      </c>
      <c r="F17" s="55" t="s">
        <v>50</v>
      </c>
      <c r="G17" s="55" t="s">
        <v>50</v>
      </c>
      <c r="H17" s="55" t="s">
        <v>50</v>
      </c>
      <c r="I17" s="55" t="s">
        <v>50</v>
      </c>
      <c r="J17" s="2" t="s">
        <v>50</v>
      </c>
      <c r="K17" s="2" t="s">
        <v>50</v>
      </c>
      <c r="L17" s="2" t="s">
        <v>50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55" t="s">
        <v>50</v>
      </c>
      <c r="S17" s="55" t="s">
        <v>50</v>
      </c>
      <c r="T17" s="55" t="s">
        <v>50</v>
      </c>
      <c r="U17" s="55" t="s">
        <v>50</v>
      </c>
      <c r="V17" s="55" t="s">
        <v>50</v>
      </c>
      <c r="W17" s="55" t="s">
        <v>50</v>
      </c>
      <c r="X17" s="55" t="s">
        <v>50</v>
      </c>
      <c r="Y17" s="55" t="s">
        <v>50</v>
      </c>
      <c r="Z17" s="55">
        <v>58</v>
      </c>
      <c r="AA17" s="55">
        <v>37</v>
      </c>
      <c r="AB17" s="55">
        <v>76</v>
      </c>
      <c r="AC17" s="55">
        <v>18</v>
      </c>
      <c r="AD17" s="55">
        <v>28</v>
      </c>
      <c r="AE17" s="55">
        <v>19</v>
      </c>
      <c r="AF17" s="55">
        <v>65</v>
      </c>
      <c r="AG17" s="55">
        <v>236</v>
      </c>
    </row>
    <row r="18" ht="18.75" spans="1:33">
      <c r="A18" s="46" t="s">
        <v>63</v>
      </c>
      <c r="B18" s="55">
        <v>80</v>
      </c>
      <c r="C18" s="55">
        <v>97</v>
      </c>
      <c r="D18" s="55">
        <v>64</v>
      </c>
      <c r="E18" s="55">
        <v>54</v>
      </c>
      <c r="F18" s="55">
        <v>40</v>
      </c>
      <c r="G18" s="55">
        <v>34</v>
      </c>
      <c r="H18" s="55">
        <v>128</v>
      </c>
      <c r="I18" s="55">
        <v>369</v>
      </c>
      <c r="J18" s="2">
        <v>74</v>
      </c>
      <c r="K18" s="2">
        <v>92</v>
      </c>
      <c r="L18" s="2">
        <v>55</v>
      </c>
      <c r="M18" s="2">
        <v>48</v>
      </c>
      <c r="N18" s="2">
        <v>34</v>
      </c>
      <c r="O18" s="2">
        <v>39</v>
      </c>
      <c r="P18" s="2">
        <v>121</v>
      </c>
      <c r="Q18" s="2">
        <v>342</v>
      </c>
      <c r="R18" s="55">
        <v>82</v>
      </c>
      <c r="S18" s="55">
        <v>89</v>
      </c>
      <c r="T18" s="55">
        <v>34</v>
      </c>
      <c r="U18" s="55">
        <v>43</v>
      </c>
      <c r="V18" s="55">
        <v>40</v>
      </c>
      <c r="W18" s="55">
        <v>30</v>
      </c>
      <c r="X18" s="55">
        <v>113</v>
      </c>
      <c r="Y18" s="55">
        <v>318</v>
      </c>
      <c r="Z18" s="55">
        <v>80</v>
      </c>
      <c r="AA18" s="55">
        <v>86</v>
      </c>
      <c r="AB18" s="55">
        <v>75</v>
      </c>
      <c r="AC18" s="55">
        <v>41</v>
      </c>
      <c r="AD18" s="55">
        <v>36</v>
      </c>
      <c r="AE18" s="55">
        <v>35</v>
      </c>
      <c r="AF18" s="55">
        <v>112</v>
      </c>
      <c r="AG18" s="55">
        <v>353</v>
      </c>
    </row>
    <row r="19" ht="18.75" spans="1:33">
      <c r="A19" s="46" t="s">
        <v>64</v>
      </c>
      <c r="B19" s="55">
        <v>76</v>
      </c>
      <c r="C19" s="55">
        <v>88</v>
      </c>
      <c r="D19" s="55">
        <v>83</v>
      </c>
      <c r="E19" s="55">
        <v>43</v>
      </c>
      <c r="F19" s="55">
        <v>34</v>
      </c>
      <c r="G19" s="55">
        <v>25</v>
      </c>
      <c r="H19" s="55">
        <v>102</v>
      </c>
      <c r="I19" s="55">
        <v>349</v>
      </c>
      <c r="J19" s="2">
        <v>76</v>
      </c>
      <c r="K19" s="2">
        <v>52</v>
      </c>
      <c r="L19" s="2">
        <v>80</v>
      </c>
      <c r="M19" s="2">
        <v>38</v>
      </c>
      <c r="N19" s="2">
        <v>34</v>
      </c>
      <c r="O19" s="2">
        <v>29</v>
      </c>
      <c r="P19" s="2">
        <v>101</v>
      </c>
      <c r="Q19" s="2">
        <v>309</v>
      </c>
      <c r="R19" s="55">
        <v>84</v>
      </c>
      <c r="S19" s="55">
        <v>55</v>
      </c>
      <c r="T19" s="55">
        <v>82</v>
      </c>
      <c r="U19" s="55">
        <v>40</v>
      </c>
      <c r="V19" s="55">
        <v>36</v>
      </c>
      <c r="W19" s="55">
        <v>29</v>
      </c>
      <c r="X19" s="55">
        <v>105</v>
      </c>
      <c r="Y19" s="55">
        <v>326</v>
      </c>
      <c r="Z19" s="55">
        <v>88</v>
      </c>
      <c r="AA19" s="55">
        <v>65</v>
      </c>
      <c r="AB19" s="55">
        <v>74</v>
      </c>
      <c r="AC19" s="55">
        <v>27</v>
      </c>
      <c r="AD19" s="55">
        <v>38</v>
      </c>
      <c r="AE19" s="55">
        <v>23</v>
      </c>
      <c r="AF19" s="55">
        <v>88</v>
      </c>
      <c r="AG19" s="55">
        <v>315</v>
      </c>
    </row>
    <row r="20" ht="18.75" spans="1:33">
      <c r="A20" s="46" t="s">
        <v>65</v>
      </c>
      <c r="B20" s="55">
        <v>72</v>
      </c>
      <c r="C20" s="55">
        <v>92</v>
      </c>
      <c r="D20" s="55">
        <v>79</v>
      </c>
      <c r="E20" s="55">
        <v>51</v>
      </c>
      <c r="F20" s="55">
        <v>38</v>
      </c>
      <c r="G20" s="55">
        <v>33</v>
      </c>
      <c r="H20" s="55">
        <v>122</v>
      </c>
      <c r="I20" s="55">
        <v>365</v>
      </c>
      <c r="J20" s="2">
        <v>72</v>
      </c>
      <c r="K20" s="2">
        <v>88</v>
      </c>
      <c r="L20" s="2">
        <v>76</v>
      </c>
      <c r="M20" s="2">
        <v>51</v>
      </c>
      <c r="N20" s="2">
        <v>36</v>
      </c>
      <c r="O20" s="2">
        <v>40</v>
      </c>
      <c r="P20" s="2">
        <v>127</v>
      </c>
      <c r="Q20" s="2">
        <v>363</v>
      </c>
      <c r="R20" s="55">
        <v>84</v>
      </c>
      <c r="S20" s="55">
        <v>90</v>
      </c>
      <c r="T20" s="55">
        <v>79</v>
      </c>
      <c r="U20" s="55">
        <v>44</v>
      </c>
      <c r="V20" s="55">
        <v>38</v>
      </c>
      <c r="W20" s="55">
        <v>34</v>
      </c>
      <c r="X20" s="55">
        <v>116</v>
      </c>
      <c r="Y20" s="55">
        <v>369</v>
      </c>
      <c r="Z20" s="55">
        <v>78</v>
      </c>
      <c r="AA20" s="55">
        <v>96</v>
      </c>
      <c r="AB20" s="55">
        <v>81</v>
      </c>
      <c r="AC20" s="55">
        <v>47</v>
      </c>
      <c r="AD20" s="55">
        <v>36</v>
      </c>
      <c r="AE20" s="55">
        <v>29</v>
      </c>
      <c r="AF20" s="55">
        <v>112</v>
      </c>
      <c r="AG20" s="55">
        <v>367</v>
      </c>
    </row>
    <row r="21" ht="18.75" spans="1:33">
      <c r="A21" s="46" t="s">
        <v>66</v>
      </c>
      <c r="B21" s="55">
        <v>78</v>
      </c>
      <c r="C21" s="55">
        <v>86</v>
      </c>
      <c r="D21" s="55">
        <v>83</v>
      </c>
      <c r="E21" s="55">
        <v>49</v>
      </c>
      <c r="F21" s="55">
        <v>36</v>
      </c>
      <c r="G21" s="55">
        <v>30</v>
      </c>
      <c r="H21" s="55">
        <v>115</v>
      </c>
      <c r="I21" s="55">
        <v>362</v>
      </c>
      <c r="J21" s="2">
        <v>78</v>
      </c>
      <c r="K21" s="2">
        <v>80</v>
      </c>
      <c r="L21" s="2">
        <v>77</v>
      </c>
      <c r="M21" s="2">
        <v>33</v>
      </c>
      <c r="N21" s="2">
        <v>38</v>
      </c>
      <c r="O21" s="2">
        <v>32</v>
      </c>
      <c r="P21" s="2">
        <v>103</v>
      </c>
      <c r="Q21" s="2">
        <v>338</v>
      </c>
      <c r="R21" s="55">
        <v>86</v>
      </c>
      <c r="S21" s="55">
        <v>82</v>
      </c>
      <c r="T21" s="55">
        <v>73</v>
      </c>
      <c r="U21" s="55">
        <v>52</v>
      </c>
      <c r="V21" s="55">
        <v>40</v>
      </c>
      <c r="W21" s="55">
        <v>27</v>
      </c>
      <c r="X21" s="55">
        <v>119</v>
      </c>
      <c r="Y21" s="55">
        <v>360</v>
      </c>
      <c r="Z21" s="55">
        <v>88</v>
      </c>
      <c r="AA21" s="55">
        <v>83</v>
      </c>
      <c r="AB21" s="55">
        <v>83</v>
      </c>
      <c r="AC21" s="55">
        <v>27</v>
      </c>
      <c r="AD21" s="55">
        <v>33</v>
      </c>
      <c r="AE21" s="55">
        <v>29</v>
      </c>
      <c r="AF21" s="55">
        <v>89</v>
      </c>
      <c r="AG21" s="55">
        <v>343</v>
      </c>
    </row>
    <row r="22" ht="18.75" spans="1:33">
      <c r="A22" s="46" t="s">
        <v>67</v>
      </c>
      <c r="B22" s="55">
        <v>58</v>
      </c>
      <c r="C22" s="55">
        <v>75</v>
      </c>
      <c r="D22" s="55">
        <v>39</v>
      </c>
      <c r="E22" s="55" t="s">
        <v>68</v>
      </c>
      <c r="F22" s="55" t="s">
        <v>68</v>
      </c>
      <c r="G22" s="55" t="s">
        <v>68</v>
      </c>
      <c r="H22" s="55" t="s">
        <v>68</v>
      </c>
      <c r="I22" s="55" t="s">
        <v>68</v>
      </c>
      <c r="J22" s="2" t="s">
        <v>50</v>
      </c>
      <c r="K22" s="2" t="s">
        <v>50</v>
      </c>
      <c r="L22" s="2" t="s">
        <v>50</v>
      </c>
      <c r="M22" s="2" t="s">
        <v>50</v>
      </c>
      <c r="N22" s="2" t="s">
        <v>50</v>
      </c>
      <c r="O22" s="2" t="s">
        <v>50</v>
      </c>
      <c r="P22" s="2" t="s">
        <v>50</v>
      </c>
      <c r="Q22" s="2" t="s">
        <v>50</v>
      </c>
      <c r="R22" s="55">
        <v>58</v>
      </c>
      <c r="S22" s="55">
        <v>82</v>
      </c>
      <c r="T22" s="55">
        <v>67</v>
      </c>
      <c r="U22" s="55">
        <v>30</v>
      </c>
      <c r="V22" s="55">
        <v>34</v>
      </c>
      <c r="W22" s="55">
        <v>13</v>
      </c>
      <c r="X22" s="55">
        <v>77</v>
      </c>
      <c r="Y22" s="55">
        <v>284</v>
      </c>
      <c r="Z22" s="55">
        <v>30</v>
      </c>
      <c r="AA22" s="55">
        <v>33</v>
      </c>
      <c r="AB22" s="55">
        <v>28</v>
      </c>
      <c r="AC22" s="55">
        <v>33</v>
      </c>
      <c r="AD22" s="55">
        <v>32</v>
      </c>
      <c r="AE22" s="55">
        <v>10</v>
      </c>
      <c r="AF22" s="55">
        <v>75</v>
      </c>
      <c r="AG22" s="55">
        <v>166</v>
      </c>
    </row>
    <row r="23" ht="18.75" spans="1:33">
      <c r="A23" s="46" t="s">
        <v>69</v>
      </c>
      <c r="B23" s="55">
        <v>70</v>
      </c>
      <c r="C23" s="55">
        <v>94</v>
      </c>
      <c r="D23" s="55">
        <v>83</v>
      </c>
      <c r="E23" s="55">
        <v>41</v>
      </c>
      <c r="F23" s="55">
        <v>36</v>
      </c>
      <c r="G23" s="55">
        <v>18</v>
      </c>
      <c r="H23" s="55">
        <v>95</v>
      </c>
      <c r="I23" s="55">
        <v>342</v>
      </c>
      <c r="J23" s="2">
        <v>70</v>
      </c>
      <c r="K23" s="2">
        <v>93</v>
      </c>
      <c r="L23" s="2">
        <v>80</v>
      </c>
      <c r="M23" s="2">
        <v>38</v>
      </c>
      <c r="N23" s="2">
        <v>35</v>
      </c>
      <c r="O23" s="2">
        <v>25</v>
      </c>
      <c r="P23" s="2">
        <v>98</v>
      </c>
      <c r="Q23" s="2">
        <v>341</v>
      </c>
      <c r="R23" s="55">
        <v>60</v>
      </c>
      <c r="S23" s="55">
        <v>84</v>
      </c>
      <c r="T23" s="55">
        <v>78</v>
      </c>
      <c r="U23" s="55">
        <v>49</v>
      </c>
      <c r="V23" s="55">
        <v>36</v>
      </c>
      <c r="W23" s="55">
        <v>18</v>
      </c>
      <c r="X23" s="55">
        <v>103</v>
      </c>
      <c r="Y23" s="55">
        <v>325</v>
      </c>
      <c r="Z23" s="55">
        <v>76</v>
      </c>
      <c r="AA23" s="55">
        <v>81</v>
      </c>
      <c r="AB23" s="55">
        <v>66</v>
      </c>
      <c r="AC23" s="55">
        <v>18</v>
      </c>
      <c r="AD23" s="55">
        <v>24</v>
      </c>
      <c r="AE23" s="55">
        <v>32</v>
      </c>
      <c r="AF23" s="55">
        <v>74</v>
      </c>
      <c r="AG23" s="55">
        <v>297</v>
      </c>
    </row>
    <row r="24" ht="18.75" spans="1:33">
      <c r="A24" s="47" t="s">
        <v>70</v>
      </c>
      <c r="B24" s="55">
        <v>58</v>
      </c>
      <c r="C24" s="55">
        <v>86</v>
      </c>
      <c r="D24" s="55">
        <v>39</v>
      </c>
      <c r="E24" s="55">
        <v>46</v>
      </c>
      <c r="F24" s="55">
        <v>31</v>
      </c>
      <c r="G24" s="55">
        <v>28</v>
      </c>
      <c r="H24" s="55">
        <v>105</v>
      </c>
      <c r="I24" s="55">
        <v>288</v>
      </c>
      <c r="J24" s="2">
        <v>34</v>
      </c>
      <c r="K24" s="2">
        <v>85</v>
      </c>
      <c r="L24" s="2">
        <v>48</v>
      </c>
      <c r="M24" s="2">
        <v>29</v>
      </c>
      <c r="N24" s="2">
        <v>31</v>
      </c>
      <c r="O24" s="2">
        <v>19</v>
      </c>
      <c r="P24" s="2">
        <v>79</v>
      </c>
      <c r="Q24" s="2">
        <v>246</v>
      </c>
      <c r="R24" s="55">
        <v>56</v>
      </c>
      <c r="S24" s="55">
        <v>85</v>
      </c>
      <c r="T24" s="55">
        <v>59</v>
      </c>
      <c r="U24" s="55">
        <v>21</v>
      </c>
      <c r="V24" s="55">
        <v>29</v>
      </c>
      <c r="W24" s="55">
        <v>14</v>
      </c>
      <c r="X24" s="55">
        <v>64</v>
      </c>
      <c r="Y24" s="55">
        <v>264</v>
      </c>
      <c r="Z24" s="55" t="s">
        <v>50</v>
      </c>
      <c r="AA24" s="55" t="s">
        <v>50</v>
      </c>
      <c r="AB24" s="55" t="s">
        <v>50</v>
      </c>
      <c r="AC24" s="55" t="s">
        <v>50</v>
      </c>
      <c r="AD24" s="55" t="s">
        <v>50</v>
      </c>
      <c r="AE24" s="55" t="s">
        <v>50</v>
      </c>
      <c r="AF24" s="55" t="s">
        <v>50</v>
      </c>
      <c r="AG24" s="55" t="s">
        <v>50</v>
      </c>
    </row>
    <row r="25" ht="18.75" spans="1:33">
      <c r="A25" s="14" t="s">
        <v>71</v>
      </c>
      <c r="B25" s="55">
        <v>58</v>
      </c>
      <c r="C25" s="55">
        <v>39</v>
      </c>
      <c r="D25" s="55">
        <v>55</v>
      </c>
      <c r="E25" s="55">
        <v>34</v>
      </c>
      <c r="F25" s="55">
        <v>40</v>
      </c>
      <c r="G25" s="55">
        <v>24</v>
      </c>
      <c r="H25" s="55">
        <v>98</v>
      </c>
      <c r="I25" s="55">
        <v>250</v>
      </c>
      <c r="J25" s="2">
        <v>56</v>
      </c>
      <c r="K25" s="2">
        <v>46</v>
      </c>
      <c r="L25" s="2">
        <v>41</v>
      </c>
      <c r="M25" s="2">
        <v>29</v>
      </c>
      <c r="N25" s="2">
        <v>33</v>
      </c>
      <c r="O25" s="2">
        <v>29</v>
      </c>
      <c r="P25" s="2">
        <v>91</v>
      </c>
      <c r="Q25" s="2">
        <v>234</v>
      </c>
      <c r="R25" s="55">
        <v>66</v>
      </c>
      <c r="S25" s="55">
        <v>69</v>
      </c>
      <c r="T25" s="55">
        <v>51</v>
      </c>
      <c r="U25" s="55">
        <v>34</v>
      </c>
      <c r="V25" s="55">
        <v>31</v>
      </c>
      <c r="W25" s="55">
        <v>18</v>
      </c>
      <c r="X25" s="55">
        <v>83</v>
      </c>
      <c r="Y25" s="55">
        <v>269</v>
      </c>
      <c r="Z25" s="55">
        <v>82</v>
      </c>
      <c r="AA25" s="55">
        <v>71</v>
      </c>
      <c r="AB25" s="55">
        <v>65</v>
      </c>
      <c r="AC25" s="55">
        <v>30</v>
      </c>
      <c r="AD25" s="55">
        <v>34</v>
      </c>
      <c r="AE25" s="55">
        <v>32</v>
      </c>
      <c r="AF25" s="55">
        <v>96</v>
      </c>
      <c r="AG25" s="55">
        <v>314</v>
      </c>
    </row>
    <row r="26" ht="18.75" spans="1:33">
      <c r="A26" s="14" t="s">
        <v>72</v>
      </c>
      <c r="B26" s="55">
        <v>54</v>
      </c>
      <c r="C26" s="55">
        <v>76</v>
      </c>
      <c r="D26" s="55">
        <v>32</v>
      </c>
      <c r="E26" s="55">
        <v>51</v>
      </c>
      <c r="F26" s="55">
        <v>33</v>
      </c>
      <c r="G26" s="55">
        <v>22</v>
      </c>
      <c r="H26" s="55">
        <v>106</v>
      </c>
      <c r="I26" s="55">
        <v>268</v>
      </c>
      <c r="J26" s="2">
        <v>46</v>
      </c>
      <c r="K26" s="2">
        <v>77</v>
      </c>
      <c r="L26" s="2">
        <v>37</v>
      </c>
      <c r="M26" s="2">
        <v>30</v>
      </c>
      <c r="N26" s="2">
        <v>34</v>
      </c>
      <c r="O26" s="2">
        <v>31</v>
      </c>
      <c r="P26" s="2">
        <v>95</v>
      </c>
      <c r="Q26" s="2">
        <v>255</v>
      </c>
      <c r="R26" s="55">
        <v>70</v>
      </c>
      <c r="S26" s="55">
        <v>77</v>
      </c>
      <c r="T26" s="55">
        <v>31</v>
      </c>
      <c r="U26" s="55">
        <v>46</v>
      </c>
      <c r="V26" s="55">
        <v>35</v>
      </c>
      <c r="W26" s="55">
        <v>24</v>
      </c>
      <c r="X26" s="55">
        <v>105</v>
      </c>
      <c r="Y26" s="55">
        <v>283</v>
      </c>
      <c r="Z26" s="55" t="s">
        <v>50</v>
      </c>
      <c r="AA26" s="55" t="s">
        <v>50</v>
      </c>
      <c r="AB26" s="55" t="s">
        <v>50</v>
      </c>
      <c r="AC26" s="55" t="s">
        <v>50</v>
      </c>
      <c r="AD26" s="55" t="s">
        <v>50</v>
      </c>
      <c r="AE26" s="55" t="s">
        <v>50</v>
      </c>
      <c r="AF26" s="55" t="s">
        <v>50</v>
      </c>
      <c r="AG26" s="55" t="s">
        <v>50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I1"/>
    <mergeCell ref="J1:Q1"/>
    <mergeCell ref="R1:Y1"/>
    <mergeCell ref="Z1:A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zoomScale="55" zoomScaleNormal="55" workbookViewId="0">
      <pane xSplit="1" ySplit="2" topLeftCell="B3" activePane="bottomRight" state="frozen"/>
      <selection/>
      <selection pane="topRight"/>
      <selection pane="bottomLeft"/>
      <selection pane="bottomRight" activeCell="P6" sqref="P6"/>
    </sheetView>
  </sheetViews>
  <sheetFormatPr defaultColWidth="9.64166666666667" defaultRowHeight="13.5"/>
  <cols>
    <col min="1" max="1" width="8.75" customWidth="1"/>
    <col min="2" max="2" width="5.125" customWidth="1"/>
    <col min="3" max="3" width="5.375" customWidth="1"/>
    <col min="4" max="4" width="5.125" customWidth="1"/>
    <col min="5" max="8" width="8.875" customWidth="1"/>
    <col min="9" max="9" width="5.375" customWidth="1"/>
    <col min="10" max="10" width="5.125" customWidth="1"/>
    <col min="11" max="11" width="5.375" customWidth="1"/>
    <col min="12" max="12" width="5.125" customWidth="1"/>
    <col min="13" max="16" width="8.875" customWidth="1"/>
    <col min="17" max="17" width="5.375" customWidth="1"/>
    <col min="18" max="20" width="5.125" customWidth="1"/>
    <col min="21" max="24" width="8.875" customWidth="1"/>
    <col min="25" max="25" width="5.375" customWidth="1"/>
    <col min="26" max="28" width="5.125" customWidth="1"/>
    <col min="29" max="32" width="8.875" customWidth="1"/>
    <col min="33" max="33" width="5.375" customWidth="1"/>
  </cols>
  <sheetData>
    <row r="1" ht="18.75" spans="1:33">
      <c r="A1" s="4"/>
      <c r="B1" s="94" t="s">
        <v>0</v>
      </c>
      <c r="C1" s="94"/>
      <c r="D1" s="94"/>
      <c r="E1" s="94"/>
      <c r="F1" s="94"/>
      <c r="G1" s="94"/>
      <c r="H1" s="94"/>
      <c r="I1" s="94"/>
      <c r="J1" s="94" t="s">
        <v>1</v>
      </c>
      <c r="K1" s="94"/>
      <c r="L1" s="94"/>
      <c r="M1" s="94"/>
      <c r="N1" s="94"/>
      <c r="O1" s="94"/>
      <c r="P1" s="94"/>
      <c r="Q1" s="94"/>
      <c r="R1" s="94" t="s">
        <v>2</v>
      </c>
      <c r="S1" s="94"/>
      <c r="T1" s="94"/>
      <c r="U1" s="94"/>
      <c r="V1" s="94"/>
      <c r="W1" s="94"/>
      <c r="X1" s="94"/>
      <c r="Y1" s="94"/>
      <c r="Z1" s="94" t="s">
        <v>3</v>
      </c>
      <c r="AA1" s="94"/>
      <c r="AB1" s="94"/>
      <c r="AC1" s="94"/>
      <c r="AD1" s="94"/>
      <c r="AE1" s="94"/>
      <c r="AF1" s="94"/>
      <c r="AG1" s="94"/>
    </row>
    <row r="2" ht="18.75" spans="1:33">
      <c r="A2" s="49" t="s">
        <v>4</v>
      </c>
      <c r="B2" s="95" t="s">
        <v>5</v>
      </c>
      <c r="C2" s="95" t="s">
        <v>6</v>
      </c>
      <c r="D2" s="95" t="s">
        <v>73</v>
      </c>
      <c r="E2" s="95" t="s">
        <v>8</v>
      </c>
      <c r="F2" s="95" t="s">
        <v>41</v>
      </c>
      <c r="G2" s="95" t="s">
        <v>9</v>
      </c>
      <c r="H2" s="96" t="s">
        <v>10</v>
      </c>
      <c r="I2" s="96" t="s">
        <v>11</v>
      </c>
      <c r="J2" s="95" t="s">
        <v>5</v>
      </c>
      <c r="K2" s="95" t="s">
        <v>6</v>
      </c>
      <c r="L2" s="95" t="s">
        <v>73</v>
      </c>
      <c r="M2" s="95" t="s">
        <v>8</v>
      </c>
      <c r="N2" s="95" t="s">
        <v>41</v>
      </c>
      <c r="O2" s="95" t="s">
        <v>9</v>
      </c>
      <c r="P2" s="96" t="s">
        <v>10</v>
      </c>
      <c r="Q2" s="96" t="s">
        <v>11</v>
      </c>
      <c r="R2" s="95" t="s">
        <v>5</v>
      </c>
      <c r="S2" s="95" t="s">
        <v>6</v>
      </c>
      <c r="T2" s="95" t="s">
        <v>73</v>
      </c>
      <c r="U2" s="95" t="s">
        <v>8</v>
      </c>
      <c r="V2" s="95" t="s">
        <v>41</v>
      </c>
      <c r="W2" s="95" t="s">
        <v>9</v>
      </c>
      <c r="X2" s="96" t="s">
        <v>10</v>
      </c>
      <c r="Y2" s="96" t="s">
        <v>11</v>
      </c>
      <c r="Z2" s="95" t="s">
        <v>5</v>
      </c>
      <c r="AA2" s="95" t="s">
        <v>6</v>
      </c>
      <c r="AB2" s="95" t="s">
        <v>73</v>
      </c>
      <c r="AC2" s="95" t="s">
        <v>8</v>
      </c>
      <c r="AD2" s="95" t="s">
        <v>41</v>
      </c>
      <c r="AE2" s="95" t="s">
        <v>9</v>
      </c>
      <c r="AF2" s="96" t="s">
        <v>10</v>
      </c>
      <c r="AG2" s="96" t="s">
        <v>11</v>
      </c>
    </row>
    <row r="3" ht="18.75" spans="1:33">
      <c r="A3" s="49" t="s">
        <v>74</v>
      </c>
      <c r="B3" s="74">
        <v>72</v>
      </c>
      <c r="C3" s="74">
        <v>82</v>
      </c>
      <c r="D3" s="74">
        <v>79</v>
      </c>
      <c r="E3" s="74">
        <v>51</v>
      </c>
      <c r="F3" s="74">
        <v>23</v>
      </c>
      <c r="G3" s="74">
        <v>40</v>
      </c>
      <c r="H3" s="74">
        <f t="shared" ref="H3:H13" si="0">SUM(E3:G3)</f>
        <v>114</v>
      </c>
      <c r="I3" s="74">
        <f t="shared" ref="I3:I13" si="1">SUM(B3:D3,H3)</f>
        <v>347</v>
      </c>
      <c r="J3" s="74">
        <v>70</v>
      </c>
      <c r="K3" s="74">
        <v>87</v>
      </c>
      <c r="L3" s="74">
        <v>86</v>
      </c>
      <c r="M3" s="74">
        <v>32</v>
      </c>
      <c r="N3" s="74">
        <v>34</v>
      </c>
      <c r="O3" s="74">
        <v>32</v>
      </c>
      <c r="P3" s="74">
        <f>SUM(M3:O3)</f>
        <v>98</v>
      </c>
      <c r="Q3" s="74">
        <f>SUM(J3:O3)</f>
        <v>341</v>
      </c>
      <c r="R3" s="74">
        <v>76</v>
      </c>
      <c r="S3" s="74">
        <v>81</v>
      </c>
      <c r="T3" s="74">
        <v>78</v>
      </c>
      <c r="U3" s="74">
        <v>30</v>
      </c>
      <c r="V3" s="74">
        <v>25</v>
      </c>
      <c r="W3" s="74">
        <v>37</v>
      </c>
      <c r="X3" s="74">
        <f t="shared" ref="X3:X10" si="2">SUM(U3:W3)</f>
        <v>92</v>
      </c>
      <c r="Y3" s="74">
        <f t="shared" ref="Y3:Y10" si="3">SUM(R3:W3)</f>
        <v>327</v>
      </c>
      <c r="Z3" s="74">
        <v>76</v>
      </c>
      <c r="AA3" s="74">
        <v>90</v>
      </c>
      <c r="AB3" s="74">
        <v>73</v>
      </c>
      <c r="AC3" s="74">
        <v>30</v>
      </c>
      <c r="AD3" s="74">
        <v>37</v>
      </c>
      <c r="AE3" s="74">
        <v>31</v>
      </c>
      <c r="AF3" s="74">
        <f>SUM(AC3:AE3)</f>
        <v>98</v>
      </c>
      <c r="AG3" s="74">
        <f>SUM(Z3:AE3)</f>
        <v>337</v>
      </c>
    </row>
    <row r="4" ht="18.75" spans="1:33">
      <c r="A4" s="49" t="s">
        <v>75</v>
      </c>
      <c r="B4" s="74">
        <v>58</v>
      </c>
      <c r="C4" s="74">
        <v>64</v>
      </c>
      <c r="D4" s="74">
        <v>69</v>
      </c>
      <c r="E4" s="74">
        <v>45</v>
      </c>
      <c r="F4" s="74">
        <v>24</v>
      </c>
      <c r="G4" s="74">
        <v>32</v>
      </c>
      <c r="H4" s="74">
        <f t="shared" si="0"/>
        <v>101</v>
      </c>
      <c r="I4" s="74">
        <f t="shared" si="1"/>
        <v>292</v>
      </c>
      <c r="J4" s="74">
        <v>56</v>
      </c>
      <c r="K4" s="74">
        <v>85</v>
      </c>
      <c r="L4" s="74">
        <v>76</v>
      </c>
      <c r="M4" s="74">
        <v>27</v>
      </c>
      <c r="N4" s="74">
        <v>26</v>
      </c>
      <c r="O4" s="74">
        <v>36</v>
      </c>
      <c r="P4" s="74">
        <v>89</v>
      </c>
      <c r="Q4" s="74">
        <f>SUM(J4:O4)</f>
        <v>306</v>
      </c>
      <c r="R4" s="74">
        <v>60</v>
      </c>
      <c r="S4" s="74">
        <v>73</v>
      </c>
      <c r="T4" s="74">
        <v>75</v>
      </c>
      <c r="U4" s="74">
        <v>32</v>
      </c>
      <c r="V4" s="74">
        <v>14</v>
      </c>
      <c r="W4" s="74">
        <v>40</v>
      </c>
      <c r="X4" s="74">
        <f t="shared" si="2"/>
        <v>86</v>
      </c>
      <c r="Y4" s="74">
        <f t="shared" si="3"/>
        <v>294</v>
      </c>
      <c r="Z4" s="74">
        <v>60</v>
      </c>
      <c r="AA4" s="74">
        <v>81</v>
      </c>
      <c r="AB4" s="74">
        <v>67</v>
      </c>
      <c r="AC4" s="74">
        <v>33</v>
      </c>
      <c r="AD4" s="74">
        <v>20</v>
      </c>
      <c r="AE4" s="74">
        <v>34</v>
      </c>
      <c r="AF4" s="74">
        <f t="shared" ref="AF4:AF32" si="4">SUM(AC4:AE4)</f>
        <v>87</v>
      </c>
      <c r="AG4" s="74">
        <f t="shared" ref="AG4:AG32" si="5">SUM(Z4:AE4)</f>
        <v>295</v>
      </c>
    </row>
    <row r="5" ht="18.75" spans="1:33">
      <c r="A5" s="49" t="s">
        <v>76</v>
      </c>
      <c r="B5" s="74">
        <v>64</v>
      </c>
      <c r="C5" s="74">
        <v>59</v>
      </c>
      <c r="D5" s="74">
        <v>45</v>
      </c>
      <c r="E5" s="74">
        <v>36</v>
      </c>
      <c r="F5" s="74">
        <v>24</v>
      </c>
      <c r="G5" s="74">
        <v>34</v>
      </c>
      <c r="H5" s="74">
        <f t="shared" si="0"/>
        <v>94</v>
      </c>
      <c r="I5" s="74">
        <f t="shared" si="1"/>
        <v>262</v>
      </c>
      <c r="J5" s="74">
        <v>65</v>
      </c>
      <c r="K5" s="74">
        <v>68</v>
      </c>
      <c r="L5" s="74">
        <v>54</v>
      </c>
      <c r="M5" s="74">
        <v>15</v>
      </c>
      <c r="N5" s="74">
        <v>26</v>
      </c>
      <c r="O5" s="74">
        <v>36</v>
      </c>
      <c r="P5" s="74">
        <v>77</v>
      </c>
      <c r="Q5" s="74">
        <f>SUM(J5:O5)</f>
        <v>264</v>
      </c>
      <c r="R5" s="74">
        <v>70</v>
      </c>
      <c r="S5" s="74">
        <v>65</v>
      </c>
      <c r="T5" s="74">
        <v>51</v>
      </c>
      <c r="U5" s="74">
        <v>35</v>
      </c>
      <c r="V5" s="74">
        <v>19</v>
      </c>
      <c r="W5" s="74">
        <v>40</v>
      </c>
      <c r="X5" s="74">
        <f t="shared" si="2"/>
        <v>94</v>
      </c>
      <c r="Y5" s="74">
        <f t="shared" si="3"/>
        <v>280</v>
      </c>
      <c r="Z5" s="74">
        <v>58</v>
      </c>
      <c r="AA5" s="74">
        <v>79</v>
      </c>
      <c r="AB5" s="74">
        <v>61</v>
      </c>
      <c r="AC5" s="74">
        <v>21</v>
      </c>
      <c r="AD5" s="74">
        <v>12</v>
      </c>
      <c r="AE5" s="74">
        <v>36</v>
      </c>
      <c r="AF5" s="74">
        <f t="shared" si="4"/>
        <v>69</v>
      </c>
      <c r="AG5" s="74">
        <f t="shared" si="5"/>
        <v>267</v>
      </c>
    </row>
    <row r="6" ht="18.75" spans="1:33">
      <c r="A6" s="49" t="s">
        <v>77</v>
      </c>
      <c r="B6" s="74">
        <v>48</v>
      </c>
      <c r="C6" s="74">
        <v>65</v>
      </c>
      <c r="D6" s="74">
        <v>80</v>
      </c>
      <c r="E6" s="74">
        <v>32</v>
      </c>
      <c r="F6" s="74">
        <v>28</v>
      </c>
      <c r="G6" s="74">
        <v>20</v>
      </c>
      <c r="H6" s="74">
        <f t="shared" si="0"/>
        <v>80</v>
      </c>
      <c r="I6" s="74">
        <f t="shared" si="1"/>
        <v>273</v>
      </c>
      <c r="J6" s="14" t="s">
        <v>50</v>
      </c>
      <c r="K6" s="14" t="s">
        <v>50</v>
      </c>
      <c r="L6" s="14" t="s">
        <v>50</v>
      </c>
      <c r="M6" s="14" t="s">
        <v>50</v>
      </c>
      <c r="N6" s="14" t="s">
        <v>50</v>
      </c>
      <c r="O6" s="14" t="s">
        <v>50</v>
      </c>
      <c r="P6" s="14" t="s">
        <v>50</v>
      </c>
      <c r="Q6" s="14" t="s">
        <v>50</v>
      </c>
      <c r="R6" s="14">
        <v>62</v>
      </c>
      <c r="S6" s="14">
        <v>67</v>
      </c>
      <c r="T6" s="14">
        <v>68</v>
      </c>
      <c r="U6" s="14">
        <v>30</v>
      </c>
      <c r="V6" s="14">
        <v>28</v>
      </c>
      <c r="W6" s="14">
        <v>26</v>
      </c>
      <c r="X6" s="74">
        <f t="shared" si="2"/>
        <v>84</v>
      </c>
      <c r="Y6" s="74">
        <f t="shared" si="3"/>
        <v>281</v>
      </c>
      <c r="Z6" s="14">
        <v>64</v>
      </c>
      <c r="AA6" s="14">
        <v>72</v>
      </c>
      <c r="AB6" s="14">
        <v>58</v>
      </c>
      <c r="AC6" s="14">
        <v>30</v>
      </c>
      <c r="AD6" s="14">
        <v>15</v>
      </c>
      <c r="AE6" s="14">
        <v>17</v>
      </c>
      <c r="AF6" s="74">
        <f t="shared" si="4"/>
        <v>62</v>
      </c>
      <c r="AG6" s="74">
        <f t="shared" si="5"/>
        <v>256</v>
      </c>
    </row>
    <row r="7" ht="18.75" spans="1:33">
      <c r="A7" s="49" t="s">
        <v>78</v>
      </c>
      <c r="B7" s="74">
        <v>64</v>
      </c>
      <c r="C7" s="14">
        <v>80</v>
      </c>
      <c r="D7" s="74">
        <v>74</v>
      </c>
      <c r="E7" s="74">
        <v>45</v>
      </c>
      <c r="F7" s="74">
        <v>37</v>
      </c>
      <c r="G7" s="74">
        <v>29</v>
      </c>
      <c r="H7" s="74">
        <f t="shared" si="0"/>
        <v>111</v>
      </c>
      <c r="I7" s="74">
        <f t="shared" si="1"/>
        <v>329</v>
      </c>
      <c r="J7" s="74">
        <v>48</v>
      </c>
      <c r="K7" s="14">
        <v>75</v>
      </c>
      <c r="L7" s="74">
        <v>68</v>
      </c>
      <c r="M7" s="74">
        <v>27</v>
      </c>
      <c r="N7" s="74">
        <v>28</v>
      </c>
      <c r="O7" s="74">
        <v>29</v>
      </c>
      <c r="P7" s="74">
        <v>84</v>
      </c>
      <c r="Q7" s="74">
        <f>SUM(J7:O7)</f>
        <v>275</v>
      </c>
      <c r="R7" s="74">
        <v>54</v>
      </c>
      <c r="S7" s="14">
        <v>0</v>
      </c>
      <c r="T7" s="74">
        <v>78</v>
      </c>
      <c r="U7" s="74">
        <v>35</v>
      </c>
      <c r="V7" s="74">
        <v>19</v>
      </c>
      <c r="W7" s="74">
        <v>36</v>
      </c>
      <c r="X7" s="74">
        <f t="shared" si="2"/>
        <v>90</v>
      </c>
      <c r="Y7" s="74">
        <f t="shared" si="3"/>
        <v>222</v>
      </c>
      <c r="Z7" s="74">
        <v>58</v>
      </c>
      <c r="AA7" s="14">
        <v>86</v>
      </c>
      <c r="AB7" s="74">
        <v>72</v>
      </c>
      <c r="AC7" s="74">
        <v>24</v>
      </c>
      <c r="AD7" s="74">
        <v>26</v>
      </c>
      <c r="AE7" s="74">
        <v>37</v>
      </c>
      <c r="AF7" s="74">
        <f t="shared" si="4"/>
        <v>87</v>
      </c>
      <c r="AG7" s="74">
        <f t="shared" si="5"/>
        <v>303</v>
      </c>
    </row>
    <row r="8" ht="18.75" spans="1:33">
      <c r="A8" s="49" t="s">
        <v>79</v>
      </c>
      <c r="B8" s="74">
        <v>76</v>
      </c>
      <c r="C8" s="74">
        <v>91</v>
      </c>
      <c r="D8" s="74">
        <v>87</v>
      </c>
      <c r="E8" s="74">
        <v>60</v>
      </c>
      <c r="F8" s="74">
        <v>33</v>
      </c>
      <c r="G8" s="74">
        <v>35</v>
      </c>
      <c r="H8" s="74">
        <f t="shared" si="0"/>
        <v>128</v>
      </c>
      <c r="I8" s="74">
        <f t="shared" si="1"/>
        <v>382</v>
      </c>
      <c r="J8" s="14" t="s">
        <v>50</v>
      </c>
      <c r="K8" s="14" t="s">
        <v>50</v>
      </c>
      <c r="L8" s="14" t="s">
        <v>50</v>
      </c>
      <c r="M8" s="14" t="s">
        <v>50</v>
      </c>
      <c r="N8" s="14" t="s">
        <v>50</v>
      </c>
      <c r="O8" s="14" t="s">
        <v>50</v>
      </c>
      <c r="P8" s="14" t="s">
        <v>50</v>
      </c>
      <c r="Q8" s="14" t="s">
        <v>50</v>
      </c>
      <c r="R8" s="14">
        <v>80</v>
      </c>
      <c r="S8" s="14">
        <v>91</v>
      </c>
      <c r="T8" s="14">
        <v>90</v>
      </c>
      <c r="U8" s="14">
        <v>44</v>
      </c>
      <c r="V8" s="14">
        <v>37</v>
      </c>
      <c r="W8" s="14">
        <v>42</v>
      </c>
      <c r="X8" s="74">
        <f t="shared" si="2"/>
        <v>123</v>
      </c>
      <c r="Y8" s="74">
        <f t="shared" si="3"/>
        <v>384</v>
      </c>
      <c r="Z8" s="14">
        <v>88</v>
      </c>
      <c r="AA8" s="14">
        <v>95</v>
      </c>
      <c r="AB8" s="14">
        <v>82</v>
      </c>
      <c r="AC8" s="14">
        <v>52</v>
      </c>
      <c r="AD8" s="14">
        <v>34</v>
      </c>
      <c r="AE8" s="14">
        <v>38</v>
      </c>
      <c r="AF8" s="74">
        <f t="shared" si="4"/>
        <v>124</v>
      </c>
      <c r="AG8" s="74">
        <f t="shared" si="5"/>
        <v>389</v>
      </c>
    </row>
    <row r="9" ht="18.75" spans="1:33">
      <c r="A9" s="49" t="s">
        <v>80</v>
      </c>
      <c r="B9" s="74">
        <v>60</v>
      </c>
      <c r="C9" s="74">
        <v>82</v>
      </c>
      <c r="D9" s="74">
        <v>57</v>
      </c>
      <c r="E9" s="74">
        <v>54</v>
      </c>
      <c r="F9" s="74">
        <v>37</v>
      </c>
      <c r="G9" s="74">
        <v>41</v>
      </c>
      <c r="H9" s="74">
        <f t="shared" si="0"/>
        <v>132</v>
      </c>
      <c r="I9" s="74">
        <f t="shared" si="1"/>
        <v>331</v>
      </c>
      <c r="J9" s="74">
        <v>64</v>
      </c>
      <c r="K9" s="74">
        <v>87</v>
      </c>
      <c r="L9" s="74">
        <v>32</v>
      </c>
      <c r="M9" s="74">
        <v>32</v>
      </c>
      <c r="N9" s="74">
        <v>22</v>
      </c>
      <c r="O9" s="74">
        <v>41</v>
      </c>
      <c r="P9" s="74">
        <v>95</v>
      </c>
      <c r="Q9" s="74">
        <f>SUM(J9:O9)</f>
        <v>278</v>
      </c>
      <c r="R9" s="74">
        <v>80</v>
      </c>
      <c r="S9" s="74">
        <v>77</v>
      </c>
      <c r="T9" s="74">
        <v>49</v>
      </c>
      <c r="U9" s="74">
        <v>36</v>
      </c>
      <c r="V9" s="74">
        <v>20</v>
      </c>
      <c r="W9" s="74">
        <v>43</v>
      </c>
      <c r="X9" s="74">
        <f t="shared" si="2"/>
        <v>99</v>
      </c>
      <c r="Y9" s="74">
        <f t="shared" si="3"/>
        <v>305</v>
      </c>
      <c r="Z9" s="74">
        <v>76</v>
      </c>
      <c r="AA9" s="74">
        <v>81</v>
      </c>
      <c r="AB9" s="74">
        <v>57</v>
      </c>
      <c r="AC9" s="74">
        <v>26</v>
      </c>
      <c r="AD9" s="74">
        <v>9</v>
      </c>
      <c r="AE9" s="74">
        <v>42</v>
      </c>
      <c r="AF9" s="74">
        <f t="shared" si="4"/>
        <v>77</v>
      </c>
      <c r="AG9" s="74">
        <f t="shared" si="5"/>
        <v>291</v>
      </c>
    </row>
    <row r="10" ht="18.75" spans="1:33">
      <c r="A10" s="49" t="s">
        <v>81</v>
      </c>
      <c r="B10" s="74">
        <v>60</v>
      </c>
      <c r="C10" s="74">
        <v>74</v>
      </c>
      <c r="D10" s="74">
        <v>27</v>
      </c>
      <c r="E10" s="74">
        <v>54</v>
      </c>
      <c r="F10" s="74">
        <v>35</v>
      </c>
      <c r="G10" s="74">
        <v>34</v>
      </c>
      <c r="H10" s="74">
        <f t="shared" si="0"/>
        <v>123</v>
      </c>
      <c r="I10" s="74">
        <f t="shared" si="1"/>
        <v>284</v>
      </c>
      <c r="J10" s="74">
        <v>72</v>
      </c>
      <c r="K10" s="74">
        <v>29</v>
      </c>
      <c r="L10" s="74">
        <v>58</v>
      </c>
      <c r="M10" s="74">
        <v>27</v>
      </c>
      <c r="N10" s="74">
        <v>20</v>
      </c>
      <c r="O10" s="74">
        <v>33</v>
      </c>
      <c r="P10" s="74">
        <v>80</v>
      </c>
      <c r="Q10" s="74">
        <f>SUM(J10:O10)</f>
        <v>239</v>
      </c>
      <c r="R10" s="74">
        <v>68</v>
      </c>
      <c r="S10" s="74">
        <v>61</v>
      </c>
      <c r="T10" s="74">
        <v>49</v>
      </c>
      <c r="U10" s="74">
        <v>39</v>
      </c>
      <c r="V10" s="74">
        <v>20</v>
      </c>
      <c r="W10" s="74">
        <v>29</v>
      </c>
      <c r="X10" s="74">
        <f t="shared" si="2"/>
        <v>88</v>
      </c>
      <c r="Y10" s="74">
        <f t="shared" si="3"/>
        <v>266</v>
      </c>
      <c r="Z10" s="74">
        <v>80</v>
      </c>
      <c r="AA10" s="74">
        <v>75</v>
      </c>
      <c r="AB10" s="74">
        <v>73</v>
      </c>
      <c r="AC10" s="74">
        <v>54</v>
      </c>
      <c r="AD10" s="74">
        <v>12</v>
      </c>
      <c r="AE10" s="74">
        <v>36</v>
      </c>
      <c r="AF10" s="74">
        <f t="shared" si="4"/>
        <v>102</v>
      </c>
      <c r="AG10" s="74">
        <f t="shared" si="5"/>
        <v>330</v>
      </c>
    </row>
    <row r="11" ht="18.75" spans="1:33">
      <c r="A11" s="49" t="s">
        <v>82</v>
      </c>
      <c r="B11" s="74">
        <v>80</v>
      </c>
      <c r="C11" s="74">
        <v>87</v>
      </c>
      <c r="D11" s="74">
        <v>81</v>
      </c>
      <c r="E11" s="74">
        <v>54</v>
      </c>
      <c r="F11" s="74">
        <v>24</v>
      </c>
      <c r="G11" s="74">
        <v>32</v>
      </c>
      <c r="H11" s="74">
        <f t="shared" si="0"/>
        <v>110</v>
      </c>
      <c r="I11" s="74">
        <f t="shared" si="1"/>
        <v>358</v>
      </c>
      <c r="J11" s="14" t="s">
        <v>50</v>
      </c>
      <c r="K11" s="14" t="s">
        <v>50</v>
      </c>
      <c r="L11" s="14" t="s">
        <v>50</v>
      </c>
      <c r="M11" s="14" t="s">
        <v>50</v>
      </c>
      <c r="N11" s="14" t="s">
        <v>50</v>
      </c>
      <c r="O11" s="14" t="s">
        <v>50</v>
      </c>
      <c r="P11" s="14" t="s">
        <v>50</v>
      </c>
      <c r="Q11" s="14" t="s">
        <v>50</v>
      </c>
      <c r="R11" s="14" t="s">
        <v>50</v>
      </c>
      <c r="S11" s="14" t="s">
        <v>50</v>
      </c>
      <c r="T11" s="14" t="s">
        <v>50</v>
      </c>
      <c r="U11" s="14" t="s">
        <v>50</v>
      </c>
      <c r="V11" s="14" t="s">
        <v>50</v>
      </c>
      <c r="W11" s="14" t="s">
        <v>50</v>
      </c>
      <c r="X11" s="14" t="s">
        <v>50</v>
      </c>
      <c r="Y11" s="14" t="s">
        <v>50</v>
      </c>
      <c r="Z11" s="14" t="s">
        <v>50</v>
      </c>
      <c r="AA11" s="14" t="s">
        <v>50</v>
      </c>
      <c r="AB11" s="14" t="s">
        <v>50</v>
      </c>
      <c r="AC11" s="14" t="s">
        <v>50</v>
      </c>
      <c r="AD11" s="14" t="s">
        <v>50</v>
      </c>
      <c r="AE11" s="14" t="s">
        <v>50</v>
      </c>
      <c r="AF11" s="14" t="s">
        <v>50</v>
      </c>
      <c r="AG11" s="14" t="s">
        <v>50</v>
      </c>
    </row>
    <row r="12" ht="18.75" spans="1:33">
      <c r="A12" s="49" t="s">
        <v>83</v>
      </c>
      <c r="B12" s="74">
        <v>84</v>
      </c>
      <c r="C12" s="74">
        <v>93</v>
      </c>
      <c r="D12" s="74">
        <v>66</v>
      </c>
      <c r="E12" s="74">
        <v>60</v>
      </c>
      <c r="F12" s="74">
        <v>27</v>
      </c>
      <c r="G12" s="74">
        <v>38</v>
      </c>
      <c r="H12" s="74">
        <f t="shared" si="0"/>
        <v>125</v>
      </c>
      <c r="I12" s="74">
        <f t="shared" si="1"/>
        <v>368</v>
      </c>
      <c r="J12" s="74">
        <v>80</v>
      </c>
      <c r="K12" s="74">
        <v>90</v>
      </c>
      <c r="L12" s="74">
        <v>73</v>
      </c>
      <c r="M12" s="74">
        <v>33</v>
      </c>
      <c r="N12" s="74">
        <v>37</v>
      </c>
      <c r="O12" s="74">
        <v>41</v>
      </c>
      <c r="P12" s="74">
        <v>111</v>
      </c>
      <c r="Q12" s="74">
        <f>SUM(J12:O12)</f>
        <v>354</v>
      </c>
      <c r="R12" s="74">
        <v>84</v>
      </c>
      <c r="S12" s="74">
        <v>74</v>
      </c>
      <c r="T12" s="74">
        <v>66</v>
      </c>
      <c r="U12" s="74">
        <v>49</v>
      </c>
      <c r="V12" s="74">
        <v>36</v>
      </c>
      <c r="W12" s="74">
        <v>35</v>
      </c>
      <c r="X12" s="74">
        <f>SUM(U12:W12)</f>
        <v>120</v>
      </c>
      <c r="Y12" s="74">
        <f>SUM(R12:W12)</f>
        <v>344</v>
      </c>
      <c r="Z12" s="74">
        <v>84</v>
      </c>
      <c r="AA12" s="74">
        <v>99</v>
      </c>
      <c r="AB12" s="74">
        <v>67</v>
      </c>
      <c r="AC12" s="74">
        <v>30</v>
      </c>
      <c r="AD12" s="74">
        <v>32</v>
      </c>
      <c r="AE12" s="74">
        <v>42</v>
      </c>
      <c r="AF12" s="74">
        <f t="shared" si="4"/>
        <v>104</v>
      </c>
      <c r="AG12" s="74">
        <f t="shared" si="5"/>
        <v>354</v>
      </c>
    </row>
    <row r="13" ht="18.75" spans="1:33">
      <c r="A13" s="49" t="s">
        <v>84</v>
      </c>
      <c r="B13" s="74">
        <v>86</v>
      </c>
      <c r="C13" s="74">
        <v>97</v>
      </c>
      <c r="D13" s="74">
        <v>56</v>
      </c>
      <c r="E13" s="74">
        <v>54</v>
      </c>
      <c r="F13" s="74">
        <v>37</v>
      </c>
      <c r="G13" s="74">
        <v>39</v>
      </c>
      <c r="H13" s="74">
        <f t="shared" si="0"/>
        <v>130</v>
      </c>
      <c r="I13" s="74">
        <f t="shared" si="1"/>
        <v>369</v>
      </c>
      <c r="J13" s="74">
        <v>72</v>
      </c>
      <c r="K13" s="74">
        <v>93</v>
      </c>
      <c r="L13" s="74">
        <v>57</v>
      </c>
      <c r="M13" s="74">
        <v>35</v>
      </c>
      <c r="N13" s="74">
        <v>34</v>
      </c>
      <c r="O13" s="74">
        <v>41</v>
      </c>
      <c r="P13" s="74">
        <v>110</v>
      </c>
      <c r="Q13" s="74">
        <f>SUM(J13:O13)</f>
        <v>332</v>
      </c>
      <c r="R13" s="74">
        <v>90</v>
      </c>
      <c r="S13" s="74">
        <v>96</v>
      </c>
      <c r="T13" s="74">
        <v>54</v>
      </c>
      <c r="U13" s="74">
        <v>49</v>
      </c>
      <c r="V13" s="74">
        <v>31</v>
      </c>
      <c r="W13" s="74">
        <v>44</v>
      </c>
      <c r="X13" s="74">
        <f>SUM(U13:W13)</f>
        <v>124</v>
      </c>
      <c r="Y13" s="74">
        <f>SUM(R13:W13)</f>
        <v>364</v>
      </c>
      <c r="Z13" s="74">
        <v>88</v>
      </c>
      <c r="AA13" s="74">
        <v>95</v>
      </c>
      <c r="AB13" s="74">
        <v>59</v>
      </c>
      <c r="AC13" s="74">
        <v>41</v>
      </c>
      <c r="AD13" s="74">
        <v>23</v>
      </c>
      <c r="AE13" s="74">
        <v>39</v>
      </c>
      <c r="AF13" s="74">
        <f t="shared" si="4"/>
        <v>103</v>
      </c>
      <c r="AG13" s="74">
        <f t="shared" si="5"/>
        <v>345</v>
      </c>
    </row>
    <row r="14" ht="18.75" spans="1:33">
      <c r="A14" s="49" t="s">
        <v>85</v>
      </c>
      <c r="B14" s="49" t="s">
        <v>50</v>
      </c>
      <c r="C14" s="49" t="s">
        <v>50</v>
      </c>
      <c r="D14" s="49" t="s">
        <v>50</v>
      </c>
      <c r="E14" s="49" t="s">
        <v>50</v>
      </c>
      <c r="F14" s="49" t="s">
        <v>50</v>
      </c>
      <c r="G14" s="49" t="s">
        <v>50</v>
      </c>
      <c r="H14" s="14" t="s">
        <v>50</v>
      </c>
      <c r="I14" s="14" t="s">
        <v>50</v>
      </c>
      <c r="J14" s="49" t="s">
        <v>50</v>
      </c>
      <c r="K14" s="49" t="s">
        <v>50</v>
      </c>
      <c r="L14" s="49" t="s">
        <v>50</v>
      </c>
      <c r="M14" s="49" t="s">
        <v>50</v>
      </c>
      <c r="N14" s="49" t="s">
        <v>50</v>
      </c>
      <c r="O14" s="49" t="s">
        <v>50</v>
      </c>
      <c r="P14" s="49" t="s">
        <v>50</v>
      </c>
      <c r="Q14" s="14" t="s">
        <v>50</v>
      </c>
      <c r="R14" s="14" t="s">
        <v>50</v>
      </c>
      <c r="S14" s="14" t="s">
        <v>50</v>
      </c>
      <c r="T14" s="14" t="s">
        <v>50</v>
      </c>
      <c r="U14" s="14" t="s">
        <v>50</v>
      </c>
      <c r="V14" s="14" t="s">
        <v>50</v>
      </c>
      <c r="W14" s="14" t="s">
        <v>50</v>
      </c>
      <c r="X14" s="14" t="s">
        <v>50</v>
      </c>
      <c r="Y14" s="14" t="s">
        <v>50</v>
      </c>
      <c r="Z14" s="14" t="s">
        <v>50</v>
      </c>
      <c r="AA14" s="14" t="s">
        <v>50</v>
      </c>
      <c r="AB14" s="14" t="s">
        <v>50</v>
      </c>
      <c r="AC14" s="14" t="s">
        <v>50</v>
      </c>
      <c r="AD14" s="14" t="s">
        <v>50</v>
      </c>
      <c r="AE14" s="14" t="s">
        <v>50</v>
      </c>
      <c r="AF14" s="14" t="s">
        <v>50</v>
      </c>
      <c r="AG14" s="14" t="s">
        <v>50</v>
      </c>
    </row>
    <row r="15" ht="18.75" spans="1:33">
      <c r="A15" s="49" t="s">
        <v>86</v>
      </c>
      <c r="B15" s="74">
        <v>72</v>
      </c>
      <c r="C15" s="74">
        <v>86</v>
      </c>
      <c r="D15" s="74">
        <v>18</v>
      </c>
      <c r="E15" s="74">
        <v>54</v>
      </c>
      <c r="F15" s="74">
        <v>32</v>
      </c>
      <c r="G15" s="74">
        <v>35</v>
      </c>
      <c r="H15" s="74">
        <f t="shared" ref="H15:H31" si="6">SUM(E15:G15)</f>
        <v>121</v>
      </c>
      <c r="I15" s="74">
        <f t="shared" ref="I15:I31" si="7">SUM(B15:D15,H15)</f>
        <v>297</v>
      </c>
      <c r="J15" s="74">
        <v>66</v>
      </c>
      <c r="K15" s="74">
        <v>79</v>
      </c>
      <c r="L15" s="74">
        <v>16</v>
      </c>
      <c r="M15" s="74">
        <v>43</v>
      </c>
      <c r="N15" s="74">
        <v>38</v>
      </c>
      <c r="O15" s="74">
        <v>35</v>
      </c>
      <c r="P15" s="74">
        <v>116</v>
      </c>
      <c r="Q15" s="74">
        <f t="shared" ref="Q15:Q32" si="8">SUM(J15:O15)</f>
        <v>277</v>
      </c>
      <c r="R15" s="74">
        <v>64</v>
      </c>
      <c r="S15" s="74">
        <v>86</v>
      </c>
      <c r="T15" s="74">
        <v>54</v>
      </c>
      <c r="U15" s="74">
        <v>35</v>
      </c>
      <c r="V15" s="74">
        <v>29</v>
      </c>
      <c r="W15" s="74">
        <v>36</v>
      </c>
      <c r="X15" s="74">
        <f t="shared" ref="X15:X32" si="9">SUM(U15:W15)</f>
        <v>100</v>
      </c>
      <c r="Y15" s="74">
        <f t="shared" ref="Y15:Y32" si="10">SUM(R15:W15)</f>
        <v>304</v>
      </c>
      <c r="Z15" s="74">
        <v>76</v>
      </c>
      <c r="AA15" s="74">
        <v>97</v>
      </c>
      <c r="AB15" s="74">
        <v>49</v>
      </c>
      <c r="AC15" s="74">
        <v>33</v>
      </c>
      <c r="AD15" s="74">
        <v>34</v>
      </c>
      <c r="AE15" s="74">
        <v>39</v>
      </c>
      <c r="AF15" s="74">
        <f t="shared" si="4"/>
        <v>106</v>
      </c>
      <c r="AG15" s="74">
        <f t="shared" si="5"/>
        <v>328</v>
      </c>
    </row>
    <row r="16" ht="18.75" spans="1:33">
      <c r="A16" s="67" t="s">
        <v>87</v>
      </c>
      <c r="B16" s="49" t="s">
        <v>50</v>
      </c>
      <c r="C16" s="49" t="s">
        <v>50</v>
      </c>
      <c r="D16" s="49" t="s">
        <v>50</v>
      </c>
      <c r="E16" s="49" t="s">
        <v>50</v>
      </c>
      <c r="F16" s="49" t="s">
        <v>50</v>
      </c>
      <c r="G16" s="49" t="s">
        <v>50</v>
      </c>
      <c r="H16" s="14" t="s">
        <v>50</v>
      </c>
      <c r="I16" s="14" t="s">
        <v>50</v>
      </c>
      <c r="J16" s="49" t="s">
        <v>50</v>
      </c>
      <c r="K16" s="49" t="s">
        <v>50</v>
      </c>
      <c r="L16" s="49" t="s">
        <v>50</v>
      </c>
      <c r="M16" s="49" t="s">
        <v>50</v>
      </c>
      <c r="N16" s="49" t="s">
        <v>50</v>
      </c>
      <c r="O16" s="49" t="s">
        <v>50</v>
      </c>
      <c r="P16" s="49" t="s">
        <v>50</v>
      </c>
      <c r="Q16" s="14" t="s">
        <v>50</v>
      </c>
      <c r="R16" s="49">
        <v>70</v>
      </c>
      <c r="S16" s="49">
        <v>76</v>
      </c>
      <c r="T16" s="49">
        <v>67</v>
      </c>
      <c r="U16" s="49">
        <v>27</v>
      </c>
      <c r="V16" s="49">
        <v>24</v>
      </c>
      <c r="W16" s="49">
        <v>43</v>
      </c>
      <c r="X16" s="74">
        <f t="shared" si="9"/>
        <v>94</v>
      </c>
      <c r="Y16" s="74">
        <f t="shared" si="10"/>
        <v>307</v>
      </c>
      <c r="Z16" s="14" t="s">
        <v>50</v>
      </c>
      <c r="AA16" s="14" t="s">
        <v>50</v>
      </c>
      <c r="AB16" s="14" t="s">
        <v>50</v>
      </c>
      <c r="AC16" s="14" t="s">
        <v>50</v>
      </c>
      <c r="AD16" s="14" t="s">
        <v>50</v>
      </c>
      <c r="AE16" s="14" t="s">
        <v>50</v>
      </c>
      <c r="AF16" s="14" t="s">
        <v>50</v>
      </c>
      <c r="AG16" s="14" t="s">
        <v>50</v>
      </c>
    </row>
    <row r="17" ht="18.75" spans="1:33">
      <c r="A17" s="67" t="s">
        <v>88</v>
      </c>
      <c r="B17" s="49" t="s">
        <v>50</v>
      </c>
      <c r="C17" s="49" t="s">
        <v>50</v>
      </c>
      <c r="D17" s="49" t="s">
        <v>50</v>
      </c>
      <c r="E17" s="49" t="s">
        <v>50</v>
      </c>
      <c r="F17" s="49" t="s">
        <v>50</v>
      </c>
      <c r="G17" s="49" t="s">
        <v>50</v>
      </c>
      <c r="H17" s="14" t="s">
        <v>50</v>
      </c>
      <c r="I17" s="14" t="s">
        <v>50</v>
      </c>
      <c r="J17" s="49">
        <v>60</v>
      </c>
      <c r="K17" s="49">
        <v>59</v>
      </c>
      <c r="L17" s="49">
        <v>73</v>
      </c>
      <c r="M17" s="49">
        <v>24</v>
      </c>
      <c r="N17" s="49">
        <v>14</v>
      </c>
      <c r="O17" s="49">
        <v>28</v>
      </c>
      <c r="P17" s="74">
        <v>66</v>
      </c>
      <c r="Q17" s="74">
        <f t="shared" si="8"/>
        <v>258</v>
      </c>
      <c r="R17" s="49">
        <v>56</v>
      </c>
      <c r="S17" s="49">
        <v>37</v>
      </c>
      <c r="T17" s="49">
        <v>68</v>
      </c>
      <c r="U17" s="49">
        <v>21</v>
      </c>
      <c r="V17" s="49">
        <v>23</v>
      </c>
      <c r="W17" s="49">
        <v>35</v>
      </c>
      <c r="X17" s="74">
        <f t="shared" si="9"/>
        <v>79</v>
      </c>
      <c r="Y17" s="74">
        <f t="shared" si="10"/>
        <v>240</v>
      </c>
      <c r="Z17" s="49">
        <v>56</v>
      </c>
      <c r="AA17" s="49">
        <v>67</v>
      </c>
      <c r="AB17" s="49">
        <v>73</v>
      </c>
      <c r="AC17" s="49">
        <v>27</v>
      </c>
      <c r="AD17" s="49">
        <v>10</v>
      </c>
      <c r="AE17" s="49">
        <v>33</v>
      </c>
      <c r="AF17" s="74">
        <f t="shared" si="4"/>
        <v>70</v>
      </c>
      <c r="AG17" s="74">
        <f t="shared" si="5"/>
        <v>266</v>
      </c>
    </row>
    <row r="18" ht="18.75" spans="1:33">
      <c r="A18" s="67" t="s">
        <v>89</v>
      </c>
      <c r="B18" s="14" t="s">
        <v>50</v>
      </c>
      <c r="C18" s="14" t="s">
        <v>50</v>
      </c>
      <c r="D18" s="14" t="s">
        <v>50</v>
      </c>
      <c r="E18" s="14" t="s">
        <v>50</v>
      </c>
      <c r="F18" s="14" t="s">
        <v>50</v>
      </c>
      <c r="G18" s="14" t="s">
        <v>50</v>
      </c>
      <c r="H18" s="14" t="s">
        <v>50</v>
      </c>
      <c r="I18" s="14" t="s">
        <v>50</v>
      </c>
      <c r="J18" s="14" t="s">
        <v>50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s">
        <v>50</v>
      </c>
      <c r="P18" s="14" t="s">
        <v>50</v>
      </c>
      <c r="Q18" s="14" t="s">
        <v>50</v>
      </c>
      <c r="R18" s="14">
        <v>64</v>
      </c>
      <c r="S18" s="14">
        <v>36</v>
      </c>
      <c r="T18" s="14">
        <v>60</v>
      </c>
      <c r="U18" s="14">
        <v>30</v>
      </c>
      <c r="V18" s="14">
        <v>12</v>
      </c>
      <c r="W18" s="14">
        <v>38</v>
      </c>
      <c r="X18" s="74">
        <f t="shared" si="9"/>
        <v>80</v>
      </c>
      <c r="Y18" s="74">
        <f t="shared" si="10"/>
        <v>240</v>
      </c>
      <c r="Z18" s="14" t="s">
        <v>50</v>
      </c>
      <c r="AA18" s="14" t="s">
        <v>50</v>
      </c>
      <c r="AB18" s="14" t="s">
        <v>50</v>
      </c>
      <c r="AC18" s="14" t="s">
        <v>50</v>
      </c>
      <c r="AD18" s="14" t="s">
        <v>50</v>
      </c>
      <c r="AE18" s="14" t="s">
        <v>50</v>
      </c>
      <c r="AF18" s="14" t="s">
        <v>50</v>
      </c>
      <c r="AG18" s="14" t="s">
        <v>50</v>
      </c>
    </row>
    <row r="19" ht="18.75" spans="1:33">
      <c r="A19" s="67" t="s">
        <v>90</v>
      </c>
      <c r="B19" s="74">
        <v>88</v>
      </c>
      <c r="C19" s="74">
        <v>93</v>
      </c>
      <c r="D19" s="74">
        <v>86</v>
      </c>
      <c r="E19" s="74">
        <v>57</v>
      </c>
      <c r="F19" s="74">
        <v>28</v>
      </c>
      <c r="G19" s="74">
        <v>37</v>
      </c>
      <c r="H19" s="74">
        <f t="shared" si="6"/>
        <v>122</v>
      </c>
      <c r="I19" s="74">
        <f t="shared" si="7"/>
        <v>389</v>
      </c>
      <c r="J19" s="74">
        <v>90</v>
      </c>
      <c r="K19" s="74">
        <v>91</v>
      </c>
      <c r="L19" s="74">
        <v>76</v>
      </c>
      <c r="M19" s="74">
        <v>32</v>
      </c>
      <c r="N19" s="74">
        <v>28</v>
      </c>
      <c r="O19" s="74">
        <v>42</v>
      </c>
      <c r="P19" s="74">
        <v>102</v>
      </c>
      <c r="Q19" s="74">
        <f t="shared" si="8"/>
        <v>359</v>
      </c>
      <c r="R19" s="74">
        <v>86</v>
      </c>
      <c r="S19" s="74">
        <v>92</v>
      </c>
      <c r="T19" s="74">
        <v>75</v>
      </c>
      <c r="U19" s="74">
        <v>46</v>
      </c>
      <c r="V19" s="74">
        <v>28</v>
      </c>
      <c r="W19" s="74">
        <v>42</v>
      </c>
      <c r="X19" s="74">
        <f t="shared" si="9"/>
        <v>116</v>
      </c>
      <c r="Y19" s="74">
        <f t="shared" si="10"/>
        <v>369</v>
      </c>
      <c r="Z19" s="14" t="s">
        <v>50</v>
      </c>
      <c r="AA19" s="14" t="s">
        <v>50</v>
      </c>
      <c r="AB19" s="14" t="s">
        <v>50</v>
      </c>
      <c r="AC19" s="14" t="s">
        <v>50</v>
      </c>
      <c r="AD19" s="14" t="s">
        <v>50</v>
      </c>
      <c r="AE19" s="14" t="s">
        <v>50</v>
      </c>
      <c r="AF19" s="14" t="s">
        <v>50</v>
      </c>
      <c r="AG19" s="14" t="s">
        <v>50</v>
      </c>
    </row>
    <row r="20" ht="18.75" spans="1:33">
      <c r="A20" s="67" t="s">
        <v>91</v>
      </c>
      <c r="B20" s="14" t="s">
        <v>50</v>
      </c>
      <c r="C20" s="14" t="s">
        <v>50</v>
      </c>
      <c r="D20" s="14" t="s">
        <v>50</v>
      </c>
      <c r="E20" s="14" t="s">
        <v>50</v>
      </c>
      <c r="F20" s="14" t="s">
        <v>50</v>
      </c>
      <c r="G20" s="14" t="s">
        <v>50</v>
      </c>
      <c r="H20" s="14" t="s">
        <v>50</v>
      </c>
      <c r="I20" s="14" t="s">
        <v>50</v>
      </c>
      <c r="J20" s="14">
        <v>88</v>
      </c>
      <c r="K20" s="14">
        <v>97</v>
      </c>
      <c r="L20" s="14">
        <v>75</v>
      </c>
      <c r="M20" s="14">
        <v>46</v>
      </c>
      <c r="N20" s="14">
        <v>33</v>
      </c>
      <c r="O20" s="14">
        <v>38</v>
      </c>
      <c r="P20" s="74">
        <v>117</v>
      </c>
      <c r="Q20" s="74">
        <f t="shared" si="8"/>
        <v>377</v>
      </c>
      <c r="R20" s="14" t="s">
        <v>50</v>
      </c>
      <c r="S20" s="14" t="s">
        <v>50</v>
      </c>
      <c r="T20" s="14" t="s">
        <v>50</v>
      </c>
      <c r="U20" s="14" t="s">
        <v>50</v>
      </c>
      <c r="V20" s="14" t="s">
        <v>50</v>
      </c>
      <c r="W20" s="14" t="s">
        <v>50</v>
      </c>
      <c r="X20" s="14" t="s">
        <v>50</v>
      </c>
      <c r="Y20" s="14" t="s">
        <v>50</v>
      </c>
      <c r="Z20" s="14">
        <v>94</v>
      </c>
      <c r="AA20" s="14">
        <v>90</v>
      </c>
      <c r="AB20" s="14">
        <v>83</v>
      </c>
      <c r="AC20" s="14">
        <v>44</v>
      </c>
      <c r="AD20" s="14">
        <v>26</v>
      </c>
      <c r="AE20" s="14">
        <v>37</v>
      </c>
      <c r="AF20" s="74">
        <f t="shared" si="4"/>
        <v>107</v>
      </c>
      <c r="AG20" s="74">
        <f t="shared" si="5"/>
        <v>374</v>
      </c>
    </row>
    <row r="21" ht="18.75" spans="1:33">
      <c r="A21" s="67" t="s">
        <v>92</v>
      </c>
      <c r="B21" s="74">
        <v>78</v>
      </c>
      <c r="C21" s="74">
        <v>100</v>
      </c>
      <c r="D21" s="74">
        <v>60</v>
      </c>
      <c r="E21" s="74">
        <v>54</v>
      </c>
      <c r="F21" s="74">
        <v>29</v>
      </c>
      <c r="G21" s="74">
        <v>34</v>
      </c>
      <c r="H21" s="74">
        <f t="shared" si="6"/>
        <v>117</v>
      </c>
      <c r="I21" s="74">
        <f t="shared" si="7"/>
        <v>355</v>
      </c>
      <c r="J21" s="74">
        <v>62</v>
      </c>
      <c r="K21" s="74">
        <v>97</v>
      </c>
      <c r="L21" s="74">
        <v>53</v>
      </c>
      <c r="M21" s="74">
        <v>43</v>
      </c>
      <c r="N21" s="74">
        <v>31</v>
      </c>
      <c r="O21" s="74">
        <v>41</v>
      </c>
      <c r="P21" s="74">
        <v>115</v>
      </c>
      <c r="Q21" s="74">
        <f t="shared" si="8"/>
        <v>327</v>
      </c>
      <c r="R21" s="74">
        <v>90</v>
      </c>
      <c r="S21" s="74">
        <v>96</v>
      </c>
      <c r="T21" s="74">
        <v>78</v>
      </c>
      <c r="U21" s="74">
        <v>42</v>
      </c>
      <c r="V21" s="74">
        <v>32</v>
      </c>
      <c r="W21" s="74">
        <v>44</v>
      </c>
      <c r="X21" s="74">
        <f t="shared" si="9"/>
        <v>118</v>
      </c>
      <c r="Y21" s="74">
        <f t="shared" si="10"/>
        <v>382</v>
      </c>
      <c r="Z21" s="74">
        <v>96</v>
      </c>
      <c r="AA21" s="74">
        <v>97</v>
      </c>
      <c r="AB21" s="74">
        <v>80</v>
      </c>
      <c r="AC21" s="74">
        <v>54</v>
      </c>
      <c r="AD21" s="74">
        <v>27</v>
      </c>
      <c r="AE21" s="74">
        <v>41</v>
      </c>
      <c r="AF21" s="74">
        <f t="shared" si="4"/>
        <v>122</v>
      </c>
      <c r="AG21" s="74">
        <f t="shared" si="5"/>
        <v>395</v>
      </c>
    </row>
    <row r="22" ht="18.75" spans="1:33">
      <c r="A22" s="67" t="s">
        <v>93</v>
      </c>
      <c r="B22" s="74">
        <v>72</v>
      </c>
      <c r="C22" s="74">
        <v>78</v>
      </c>
      <c r="D22" s="74">
        <v>47</v>
      </c>
      <c r="E22" s="74">
        <v>34</v>
      </c>
      <c r="F22" s="74">
        <v>23</v>
      </c>
      <c r="G22" s="74">
        <v>29</v>
      </c>
      <c r="H22" s="74">
        <f t="shared" si="6"/>
        <v>86</v>
      </c>
      <c r="I22" s="74">
        <f t="shared" si="7"/>
        <v>283</v>
      </c>
      <c r="J22" s="14" t="s">
        <v>50</v>
      </c>
      <c r="K22" s="14" t="s">
        <v>50</v>
      </c>
      <c r="L22" s="14" t="s">
        <v>50</v>
      </c>
      <c r="M22" s="14" t="s">
        <v>50</v>
      </c>
      <c r="N22" s="14" t="s">
        <v>50</v>
      </c>
      <c r="O22" s="14" t="s">
        <v>50</v>
      </c>
      <c r="P22" s="14" t="s">
        <v>50</v>
      </c>
      <c r="Q22" s="14" t="s">
        <v>50</v>
      </c>
      <c r="R22" s="14">
        <v>64</v>
      </c>
      <c r="S22" s="14">
        <v>61</v>
      </c>
      <c r="T22" s="14">
        <v>46</v>
      </c>
      <c r="U22" s="14">
        <v>35</v>
      </c>
      <c r="V22" s="14">
        <v>21</v>
      </c>
      <c r="W22" s="14">
        <v>38</v>
      </c>
      <c r="X22" s="74">
        <f t="shared" si="9"/>
        <v>94</v>
      </c>
      <c r="Y22" s="74">
        <f t="shared" si="10"/>
        <v>265</v>
      </c>
      <c r="Z22" s="14">
        <v>60</v>
      </c>
      <c r="AA22" s="14">
        <v>78</v>
      </c>
      <c r="AB22" s="14">
        <v>68</v>
      </c>
      <c r="AC22" s="14">
        <v>26</v>
      </c>
      <c r="AD22" s="14">
        <v>14</v>
      </c>
      <c r="AE22" s="14">
        <v>31</v>
      </c>
      <c r="AF22" s="74">
        <f t="shared" si="4"/>
        <v>71</v>
      </c>
      <c r="AG22" s="74">
        <f t="shared" si="5"/>
        <v>277</v>
      </c>
    </row>
    <row r="23" ht="18.75" spans="1:33">
      <c r="A23" s="67" t="s">
        <v>94</v>
      </c>
      <c r="B23" s="74">
        <v>58</v>
      </c>
      <c r="C23" s="74">
        <v>100</v>
      </c>
      <c r="D23" s="74">
        <v>47</v>
      </c>
      <c r="E23" s="74">
        <v>57</v>
      </c>
      <c r="F23" s="74">
        <v>31</v>
      </c>
      <c r="G23" s="74">
        <v>30</v>
      </c>
      <c r="H23" s="74">
        <f t="shared" si="6"/>
        <v>118</v>
      </c>
      <c r="I23" s="74">
        <f t="shared" si="7"/>
        <v>323</v>
      </c>
      <c r="J23" s="74">
        <v>78</v>
      </c>
      <c r="K23" s="74">
        <v>100</v>
      </c>
      <c r="L23" s="74">
        <v>49</v>
      </c>
      <c r="M23" s="74">
        <v>40</v>
      </c>
      <c r="N23" s="74">
        <v>34</v>
      </c>
      <c r="O23" s="74">
        <v>36</v>
      </c>
      <c r="P23" s="74">
        <v>110</v>
      </c>
      <c r="Q23" s="74">
        <f t="shared" si="8"/>
        <v>337</v>
      </c>
      <c r="R23" s="14" t="s">
        <v>50</v>
      </c>
      <c r="S23" s="14" t="s">
        <v>50</v>
      </c>
      <c r="T23" s="14" t="s">
        <v>50</v>
      </c>
      <c r="U23" s="14" t="s">
        <v>50</v>
      </c>
      <c r="V23" s="14" t="s">
        <v>50</v>
      </c>
      <c r="W23" s="14" t="s">
        <v>50</v>
      </c>
      <c r="X23" s="14" t="s">
        <v>50</v>
      </c>
      <c r="Y23" s="14" t="s">
        <v>50</v>
      </c>
      <c r="Z23" s="14">
        <v>76</v>
      </c>
      <c r="AA23" s="14">
        <v>93</v>
      </c>
      <c r="AB23" s="14">
        <v>73</v>
      </c>
      <c r="AC23" s="14">
        <v>44</v>
      </c>
      <c r="AD23" s="14">
        <v>44</v>
      </c>
      <c r="AE23" s="14">
        <v>37</v>
      </c>
      <c r="AF23" s="74">
        <f t="shared" si="4"/>
        <v>125</v>
      </c>
      <c r="AG23" s="74">
        <f t="shared" si="5"/>
        <v>367</v>
      </c>
    </row>
    <row r="24" ht="18.75" spans="1:33">
      <c r="A24" s="67" t="s">
        <v>95</v>
      </c>
      <c r="B24" s="74">
        <v>60</v>
      </c>
      <c r="C24" s="74">
        <v>100</v>
      </c>
      <c r="D24" s="74">
        <v>43</v>
      </c>
      <c r="E24" s="74">
        <v>37</v>
      </c>
      <c r="F24" s="74">
        <v>19</v>
      </c>
      <c r="G24" s="74">
        <v>30</v>
      </c>
      <c r="H24" s="74">
        <f t="shared" si="6"/>
        <v>86</v>
      </c>
      <c r="I24" s="74">
        <f t="shared" si="7"/>
        <v>289</v>
      </c>
      <c r="J24" s="74">
        <v>66</v>
      </c>
      <c r="K24" s="74">
        <v>99</v>
      </c>
      <c r="L24" s="74">
        <v>51</v>
      </c>
      <c r="M24" s="74">
        <v>15</v>
      </c>
      <c r="N24" s="74">
        <v>17</v>
      </c>
      <c r="O24" s="74">
        <v>32</v>
      </c>
      <c r="P24" s="74">
        <v>64</v>
      </c>
      <c r="Q24" s="74">
        <f t="shared" si="8"/>
        <v>280</v>
      </c>
      <c r="R24" s="74">
        <v>62</v>
      </c>
      <c r="S24" s="74">
        <v>44</v>
      </c>
      <c r="T24" s="74">
        <v>58</v>
      </c>
      <c r="U24" s="74">
        <v>30</v>
      </c>
      <c r="V24" s="74">
        <v>19</v>
      </c>
      <c r="W24" s="74">
        <v>35</v>
      </c>
      <c r="X24" s="74">
        <f t="shared" si="9"/>
        <v>84</v>
      </c>
      <c r="Y24" s="74">
        <f t="shared" si="10"/>
        <v>248</v>
      </c>
      <c r="Z24" s="74">
        <v>88</v>
      </c>
      <c r="AA24" s="74">
        <v>76</v>
      </c>
      <c r="AB24" s="74">
        <v>76</v>
      </c>
      <c r="AC24" s="74">
        <v>54</v>
      </c>
      <c r="AD24" s="74">
        <v>19</v>
      </c>
      <c r="AE24" s="74">
        <v>38</v>
      </c>
      <c r="AF24" s="74">
        <f t="shared" si="4"/>
        <v>111</v>
      </c>
      <c r="AG24" s="74">
        <f t="shared" si="5"/>
        <v>351</v>
      </c>
    </row>
    <row r="25" ht="18.75" spans="1:33">
      <c r="A25" s="67" t="s">
        <v>96</v>
      </c>
      <c r="B25" s="14" t="s">
        <v>50</v>
      </c>
      <c r="C25" s="14" t="s">
        <v>50</v>
      </c>
      <c r="D25" s="14" t="s">
        <v>50</v>
      </c>
      <c r="E25" s="14" t="s">
        <v>50</v>
      </c>
      <c r="F25" s="14" t="s">
        <v>50</v>
      </c>
      <c r="G25" s="14" t="s">
        <v>50</v>
      </c>
      <c r="H25" s="14" t="s">
        <v>50</v>
      </c>
      <c r="I25" s="14" t="s">
        <v>50</v>
      </c>
      <c r="J25" s="14">
        <v>74</v>
      </c>
      <c r="K25" s="14">
        <v>90</v>
      </c>
      <c r="L25" s="14">
        <v>69</v>
      </c>
      <c r="M25" s="14">
        <v>43</v>
      </c>
      <c r="N25" s="14">
        <v>31</v>
      </c>
      <c r="O25" s="14">
        <v>38</v>
      </c>
      <c r="P25" s="14">
        <v>113</v>
      </c>
      <c r="Q25" s="74">
        <f t="shared" si="8"/>
        <v>345</v>
      </c>
      <c r="R25" s="14">
        <v>84</v>
      </c>
      <c r="S25" s="14">
        <v>83</v>
      </c>
      <c r="T25" s="14">
        <v>80</v>
      </c>
      <c r="U25" s="14">
        <v>43</v>
      </c>
      <c r="V25" s="14">
        <v>30</v>
      </c>
      <c r="W25" s="14">
        <v>41</v>
      </c>
      <c r="X25" s="74">
        <f t="shared" si="9"/>
        <v>114</v>
      </c>
      <c r="Y25" s="74">
        <f t="shared" si="10"/>
        <v>361</v>
      </c>
      <c r="Z25" s="14">
        <v>82</v>
      </c>
      <c r="AA25" s="14">
        <v>84</v>
      </c>
      <c r="AB25" s="14">
        <v>74</v>
      </c>
      <c r="AC25" s="14">
        <v>30</v>
      </c>
      <c r="AD25" s="14">
        <v>31</v>
      </c>
      <c r="AE25" s="14">
        <v>36</v>
      </c>
      <c r="AF25" s="74">
        <f t="shared" si="4"/>
        <v>97</v>
      </c>
      <c r="AG25" s="74">
        <f t="shared" si="5"/>
        <v>337</v>
      </c>
    </row>
    <row r="26" ht="18.75" spans="1:33">
      <c r="A26" s="67" t="s">
        <v>97</v>
      </c>
      <c r="B26" s="74">
        <v>86</v>
      </c>
      <c r="C26" s="74">
        <v>100</v>
      </c>
      <c r="D26" s="74">
        <v>76</v>
      </c>
      <c r="E26" s="74">
        <v>52</v>
      </c>
      <c r="F26" s="74">
        <v>26</v>
      </c>
      <c r="G26" s="74">
        <v>43</v>
      </c>
      <c r="H26" s="74">
        <f t="shared" si="6"/>
        <v>121</v>
      </c>
      <c r="I26" s="74">
        <f t="shared" si="7"/>
        <v>383</v>
      </c>
      <c r="J26" s="74">
        <v>76</v>
      </c>
      <c r="K26" s="74">
        <v>100</v>
      </c>
      <c r="L26" s="74">
        <v>72</v>
      </c>
      <c r="M26" s="74">
        <v>48</v>
      </c>
      <c r="N26" s="74">
        <v>32</v>
      </c>
      <c r="O26" s="74">
        <v>39</v>
      </c>
      <c r="P26" s="74">
        <v>119</v>
      </c>
      <c r="Q26" s="74">
        <f t="shared" si="8"/>
        <v>367</v>
      </c>
      <c r="R26" s="14" t="s">
        <v>50</v>
      </c>
      <c r="S26" s="14" t="s">
        <v>50</v>
      </c>
      <c r="T26" s="14" t="s">
        <v>50</v>
      </c>
      <c r="U26" s="14" t="s">
        <v>50</v>
      </c>
      <c r="V26" s="14" t="s">
        <v>50</v>
      </c>
      <c r="W26" s="14" t="s">
        <v>50</v>
      </c>
      <c r="X26" s="14" t="s">
        <v>50</v>
      </c>
      <c r="Y26" s="14" t="s">
        <v>50</v>
      </c>
      <c r="Z26" s="14">
        <v>86</v>
      </c>
      <c r="AA26" s="14">
        <v>99</v>
      </c>
      <c r="AB26" s="14">
        <v>76</v>
      </c>
      <c r="AC26" s="14">
        <v>41</v>
      </c>
      <c r="AD26" s="14">
        <v>38</v>
      </c>
      <c r="AE26" s="14">
        <v>42</v>
      </c>
      <c r="AF26" s="74">
        <f t="shared" si="4"/>
        <v>121</v>
      </c>
      <c r="AG26" s="74">
        <f t="shared" si="5"/>
        <v>382</v>
      </c>
    </row>
    <row r="27" ht="18.75" spans="1:33">
      <c r="A27" s="67" t="s">
        <v>98</v>
      </c>
      <c r="B27" s="74">
        <v>70</v>
      </c>
      <c r="C27" s="74">
        <v>97</v>
      </c>
      <c r="D27" s="74">
        <v>58</v>
      </c>
      <c r="E27" s="74">
        <v>49</v>
      </c>
      <c r="F27" s="74">
        <v>29</v>
      </c>
      <c r="G27" s="74">
        <v>37</v>
      </c>
      <c r="H27" s="74">
        <f t="shared" si="6"/>
        <v>115</v>
      </c>
      <c r="I27" s="74">
        <f t="shared" si="7"/>
        <v>340</v>
      </c>
      <c r="J27" s="74">
        <v>52</v>
      </c>
      <c r="K27" s="74">
        <v>91</v>
      </c>
      <c r="L27" s="74">
        <v>60</v>
      </c>
      <c r="M27" s="74">
        <v>48</v>
      </c>
      <c r="N27" s="74">
        <v>32</v>
      </c>
      <c r="O27" s="74">
        <v>37</v>
      </c>
      <c r="P27" s="74">
        <v>117</v>
      </c>
      <c r="Q27" s="74">
        <f t="shared" si="8"/>
        <v>320</v>
      </c>
      <c r="R27" s="74">
        <v>58</v>
      </c>
      <c r="S27" s="74">
        <v>90</v>
      </c>
      <c r="T27" s="74">
        <v>64</v>
      </c>
      <c r="U27" s="74">
        <v>42</v>
      </c>
      <c r="V27" s="74">
        <v>29</v>
      </c>
      <c r="W27" s="74">
        <v>42</v>
      </c>
      <c r="X27" s="74">
        <f t="shared" si="9"/>
        <v>113</v>
      </c>
      <c r="Y27" s="74">
        <f t="shared" si="10"/>
        <v>325</v>
      </c>
      <c r="Z27" s="74">
        <v>76</v>
      </c>
      <c r="AA27" s="74">
        <v>94</v>
      </c>
      <c r="AB27" s="74">
        <v>79</v>
      </c>
      <c r="AC27" s="74">
        <v>54</v>
      </c>
      <c r="AD27" s="74">
        <v>28</v>
      </c>
      <c r="AE27" s="74">
        <v>41</v>
      </c>
      <c r="AF27" s="74">
        <f t="shared" si="4"/>
        <v>123</v>
      </c>
      <c r="AG27" s="74">
        <f t="shared" si="5"/>
        <v>372</v>
      </c>
    </row>
    <row r="28" ht="18.75" spans="1:33">
      <c r="A28" s="49" t="s">
        <v>99</v>
      </c>
      <c r="B28" s="74">
        <v>72</v>
      </c>
      <c r="C28" s="74">
        <v>69</v>
      </c>
      <c r="D28" s="74">
        <v>42</v>
      </c>
      <c r="E28" s="74">
        <v>51</v>
      </c>
      <c r="F28" s="74">
        <v>31</v>
      </c>
      <c r="G28" s="74">
        <v>25</v>
      </c>
      <c r="H28" s="74">
        <f t="shared" si="6"/>
        <v>107</v>
      </c>
      <c r="I28" s="74">
        <f t="shared" si="7"/>
        <v>290</v>
      </c>
      <c r="J28" s="74">
        <v>62</v>
      </c>
      <c r="K28" s="74">
        <v>98</v>
      </c>
      <c r="L28" s="74">
        <v>36</v>
      </c>
      <c r="M28" s="74">
        <v>29</v>
      </c>
      <c r="N28" s="74">
        <v>23</v>
      </c>
      <c r="O28" s="74">
        <v>35</v>
      </c>
      <c r="P28" s="74">
        <v>87</v>
      </c>
      <c r="Q28" s="74">
        <f t="shared" si="8"/>
        <v>283</v>
      </c>
      <c r="R28" s="74">
        <v>78</v>
      </c>
      <c r="S28" s="74">
        <v>56</v>
      </c>
      <c r="T28" s="74">
        <v>62</v>
      </c>
      <c r="U28" s="74">
        <v>33</v>
      </c>
      <c r="V28" s="74">
        <v>19</v>
      </c>
      <c r="W28" s="74">
        <v>33</v>
      </c>
      <c r="X28" s="74">
        <f t="shared" si="9"/>
        <v>85</v>
      </c>
      <c r="Y28" s="74">
        <f t="shared" si="10"/>
        <v>281</v>
      </c>
      <c r="Z28" s="74">
        <v>74</v>
      </c>
      <c r="AA28" s="74">
        <v>82</v>
      </c>
      <c r="AB28" s="74">
        <v>68</v>
      </c>
      <c r="AC28" s="74">
        <v>38</v>
      </c>
      <c r="AD28" s="74">
        <v>17</v>
      </c>
      <c r="AE28" s="74">
        <v>29</v>
      </c>
      <c r="AF28" s="74">
        <f t="shared" si="4"/>
        <v>84</v>
      </c>
      <c r="AG28" s="74">
        <f t="shared" si="5"/>
        <v>308</v>
      </c>
    </row>
    <row r="29" ht="18.75" spans="1:33">
      <c r="A29" s="49" t="s">
        <v>100</v>
      </c>
      <c r="B29" s="74">
        <v>58</v>
      </c>
      <c r="C29" s="74">
        <v>59</v>
      </c>
      <c r="D29" s="74">
        <v>52</v>
      </c>
      <c r="E29" s="74">
        <v>40</v>
      </c>
      <c r="F29" s="74">
        <v>25</v>
      </c>
      <c r="G29" s="74">
        <v>34</v>
      </c>
      <c r="H29" s="74">
        <f t="shared" si="6"/>
        <v>99</v>
      </c>
      <c r="I29" s="74">
        <f t="shared" si="7"/>
        <v>268</v>
      </c>
      <c r="J29" s="14" t="s">
        <v>50</v>
      </c>
      <c r="K29" s="14" t="s">
        <v>50</v>
      </c>
      <c r="L29" s="14" t="s">
        <v>50</v>
      </c>
      <c r="M29" s="14" t="s">
        <v>50</v>
      </c>
      <c r="N29" s="14" t="s">
        <v>50</v>
      </c>
      <c r="O29" s="14" t="s">
        <v>50</v>
      </c>
      <c r="P29" s="14" t="s">
        <v>50</v>
      </c>
      <c r="Q29" s="14" t="s">
        <v>50</v>
      </c>
      <c r="R29" s="14">
        <v>48</v>
      </c>
      <c r="S29" s="14">
        <v>68</v>
      </c>
      <c r="T29" s="14">
        <v>58</v>
      </c>
      <c r="U29" s="14">
        <v>29</v>
      </c>
      <c r="V29" s="14">
        <v>19</v>
      </c>
      <c r="W29" s="14">
        <v>23</v>
      </c>
      <c r="X29" s="74">
        <f t="shared" si="9"/>
        <v>71</v>
      </c>
      <c r="Y29" s="74">
        <f t="shared" si="10"/>
        <v>245</v>
      </c>
      <c r="Z29" s="14">
        <v>70</v>
      </c>
      <c r="AA29" s="14">
        <v>49</v>
      </c>
      <c r="AB29" s="14">
        <v>53</v>
      </c>
      <c r="AC29" s="14">
        <v>21</v>
      </c>
      <c r="AD29" s="14">
        <v>10</v>
      </c>
      <c r="AE29" s="14">
        <v>37</v>
      </c>
      <c r="AF29" s="74">
        <f t="shared" si="4"/>
        <v>68</v>
      </c>
      <c r="AG29" s="74">
        <f t="shared" si="5"/>
        <v>240</v>
      </c>
    </row>
    <row r="30" ht="18.75" spans="1:33">
      <c r="A30" s="49" t="s">
        <v>101</v>
      </c>
      <c r="B30" s="74">
        <v>70</v>
      </c>
      <c r="C30" s="74">
        <v>99</v>
      </c>
      <c r="D30" s="74">
        <v>67</v>
      </c>
      <c r="E30" s="74">
        <v>60</v>
      </c>
      <c r="F30" s="74">
        <v>28</v>
      </c>
      <c r="G30" s="74">
        <v>40</v>
      </c>
      <c r="H30" s="74">
        <f t="shared" si="6"/>
        <v>128</v>
      </c>
      <c r="I30" s="74">
        <f t="shared" si="7"/>
        <v>364</v>
      </c>
      <c r="J30" s="14" t="s">
        <v>50</v>
      </c>
      <c r="K30" s="14" t="s">
        <v>50</v>
      </c>
      <c r="L30" s="14" t="s">
        <v>50</v>
      </c>
      <c r="M30" s="14" t="s">
        <v>50</v>
      </c>
      <c r="N30" s="14" t="s">
        <v>50</v>
      </c>
      <c r="O30" s="14" t="s">
        <v>50</v>
      </c>
      <c r="P30" s="14" t="s">
        <v>50</v>
      </c>
      <c r="Q30" s="14" t="s">
        <v>50</v>
      </c>
      <c r="R30" s="14">
        <v>72</v>
      </c>
      <c r="S30" s="14">
        <v>53</v>
      </c>
      <c r="T30" s="14">
        <v>65</v>
      </c>
      <c r="U30" s="14">
        <v>45</v>
      </c>
      <c r="V30" s="14">
        <v>21</v>
      </c>
      <c r="W30" s="14">
        <v>43</v>
      </c>
      <c r="X30" s="74">
        <f t="shared" si="9"/>
        <v>109</v>
      </c>
      <c r="Y30" s="74">
        <f t="shared" si="10"/>
        <v>299</v>
      </c>
      <c r="Z30" s="14">
        <v>82</v>
      </c>
      <c r="AA30" s="14">
        <v>93</v>
      </c>
      <c r="AB30" s="14">
        <v>67</v>
      </c>
      <c r="AC30" s="14">
        <v>43</v>
      </c>
      <c r="AD30" s="14">
        <v>36</v>
      </c>
      <c r="AE30" s="14">
        <v>35</v>
      </c>
      <c r="AF30" s="74">
        <f t="shared" si="4"/>
        <v>114</v>
      </c>
      <c r="AG30" s="74">
        <f t="shared" si="5"/>
        <v>356</v>
      </c>
    </row>
    <row r="31" ht="18.75" spans="1:33">
      <c r="A31" s="97" t="s">
        <v>102</v>
      </c>
      <c r="B31" s="98">
        <v>66</v>
      </c>
      <c r="C31" s="98">
        <v>60</v>
      </c>
      <c r="D31" s="98">
        <v>69</v>
      </c>
      <c r="E31" s="98">
        <v>32</v>
      </c>
      <c r="F31" s="98">
        <v>22</v>
      </c>
      <c r="G31" s="98">
        <v>40</v>
      </c>
      <c r="H31" s="98">
        <f t="shared" si="6"/>
        <v>94</v>
      </c>
      <c r="I31" s="98">
        <f t="shared" si="7"/>
        <v>289</v>
      </c>
      <c r="J31" s="98">
        <v>64</v>
      </c>
      <c r="K31" s="98">
        <v>95</v>
      </c>
      <c r="L31" s="98">
        <v>78</v>
      </c>
      <c r="M31" s="98">
        <v>27</v>
      </c>
      <c r="N31" s="98">
        <v>21</v>
      </c>
      <c r="O31" s="98">
        <v>35</v>
      </c>
      <c r="P31" s="98">
        <v>83</v>
      </c>
      <c r="Q31" s="74">
        <f t="shared" si="8"/>
        <v>320</v>
      </c>
      <c r="R31" s="98">
        <v>66</v>
      </c>
      <c r="S31" s="98">
        <v>86</v>
      </c>
      <c r="T31" s="98">
        <v>76</v>
      </c>
      <c r="U31" s="98">
        <v>29</v>
      </c>
      <c r="V31" s="98">
        <v>16</v>
      </c>
      <c r="W31" s="98">
        <v>34</v>
      </c>
      <c r="X31" s="74">
        <f t="shared" si="9"/>
        <v>79</v>
      </c>
      <c r="Y31" s="74">
        <f t="shared" si="10"/>
        <v>307</v>
      </c>
      <c r="Z31" s="98">
        <v>72</v>
      </c>
      <c r="AA31" s="98">
        <v>86</v>
      </c>
      <c r="AB31" s="98">
        <v>75</v>
      </c>
      <c r="AC31" s="98">
        <v>33</v>
      </c>
      <c r="AD31" s="98">
        <v>10</v>
      </c>
      <c r="AE31" s="98">
        <v>35</v>
      </c>
      <c r="AF31" s="74">
        <f t="shared" si="4"/>
        <v>78</v>
      </c>
      <c r="AG31" s="74">
        <f t="shared" si="5"/>
        <v>311</v>
      </c>
    </row>
    <row r="32" ht="18.75" spans="1:33">
      <c r="A32" s="97" t="s">
        <v>103</v>
      </c>
      <c r="B32" s="98"/>
      <c r="C32" s="98"/>
      <c r="D32" s="98"/>
      <c r="E32" s="98"/>
      <c r="F32" s="98"/>
      <c r="G32" s="98"/>
      <c r="H32" s="98"/>
      <c r="I32" s="98"/>
      <c r="J32" s="98">
        <v>56</v>
      </c>
      <c r="K32" s="98">
        <v>67</v>
      </c>
      <c r="L32" s="98">
        <v>64</v>
      </c>
      <c r="M32" s="98">
        <v>27</v>
      </c>
      <c r="N32" s="98">
        <v>20</v>
      </c>
      <c r="O32" s="98">
        <v>32</v>
      </c>
      <c r="P32" s="98">
        <v>79</v>
      </c>
      <c r="Q32" s="74">
        <f t="shared" si="8"/>
        <v>266</v>
      </c>
      <c r="R32" s="98">
        <v>66</v>
      </c>
      <c r="S32" s="98">
        <v>48</v>
      </c>
      <c r="T32" s="98">
        <v>56</v>
      </c>
      <c r="U32" s="98">
        <v>33</v>
      </c>
      <c r="V32" s="98">
        <v>24</v>
      </c>
      <c r="W32" s="98">
        <v>38</v>
      </c>
      <c r="X32" s="74">
        <f t="shared" si="9"/>
        <v>95</v>
      </c>
      <c r="Y32" s="74">
        <f t="shared" si="10"/>
        <v>265</v>
      </c>
      <c r="Z32" s="98">
        <v>68</v>
      </c>
      <c r="AA32" s="98">
        <v>45</v>
      </c>
      <c r="AB32" s="98">
        <v>52</v>
      </c>
      <c r="AC32" s="98">
        <v>27</v>
      </c>
      <c r="AD32" s="98">
        <v>19</v>
      </c>
      <c r="AE32" s="98">
        <v>31</v>
      </c>
      <c r="AF32" s="74">
        <f t="shared" si="4"/>
        <v>77</v>
      </c>
      <c r="AG32" s="74">
        <f t="shared" si="5"/>
        <v>242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I1"/>
    <mergeCell ref="J1:Q1"/>
    <mergeCell ref="R1:Y1"/>
    <mergeCell ref="Z1:A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3"/>
  <sheetViews>
    <sheetView zoomScale="70" zoomScaleNormal="70" workbookViewId="0">
      <selection activeCell="H29" sqref="H29"/>
    </sheetView>
  </sheetViews>
  <sheetFormatPr defaultColWidth="9.64166666666667" defaultRowHeight="13.5"/>
  <cols>
    <col min="1" max="1" width="7.375" customWidth="1"/>
    <col min="2" max="3" width="5.125" customWidth="1"/>
    <col min="4" max="7" width="8.875" customWidth="1"/>
    <col min="8" max="8" width="6.375" customWidth="1"/>
    <col min="9" max="10" width="5.125" customWidth="1"/>
    <col min="11" max="14" width="8.875" customWidth="1"/>
    <col min="15" max="17" width="5.125" customWidth="1"/>
    <col min="18" max="21" width="8.875" customWidth="1"/>
    <col min="22" max="22" width="6.375" customWidth="1"/>
    <col min="23" max="24" width="5.125" customWidth="1"/>
    <col min="25" max="28" width="8.875" customWidth="1"/>
    <col min="29" max="29" width="6.375" customWidth="1"/>
  </cols>
  <sheetData>
    <row r="1" s="2" customFormat="1" ht="18.75" spans="1:29">
      <c r="A1" s="91"/>
      <c r="B1" s="16" t="s">
        <v>0</v>
      </c>
      <c r="C1" s="16"/>
      <c r="D1" s="16"/>
      <c r="E1" s="16"/>
      <c r="F1" s="16"/>
      <c r="G1" s="16"/>
      <c r="H1" s="16"/>
      <c r="I1" s="16" t="s">
        <v>1</v>
      </c>
      <c r="J1" s="16"/>
      <c r="K1" s="16"/>
      <c r="L1" s="16"/>
      <c r="M1" s="16"/>
      <c r="N1" s="16"/>
      <c r="O1" s="16"/>
      <c r="P1" s="16" t="s">
        <v>2</v>
      </c>
      <c r="Q1" s="16"/>
      <c r="R1" s="16"/>
      <c r="S1" s="16"/>
      <c r="T1" s="16"/>
      <c r="U1" s="16"/>
      <c r="V1" s="16"/>
      <c r="W1" s="16" t="s">
        <v>3</v>
      </c>
      <c r="X1" s="16"/>
      <c r="Y1" s="16"/>
      <c r="Z1" s="16"/>
      <c r="AA1" s="16"/>
      <c r="AB1" s="16"/>
      <c r="AC1" s="16"/>
    </row>
    <row r="2" s="2" customFormat="1" ht="18.75" spans="1:29">
      <c r="A2" s="14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7" t="s">
        <v>104</v>
      </c>
      <c r="G2" s="3" t="s">
        <v>10</v>
      </c>
      <c r="H2" s="3" t="s">
        <v>11</v>
      </c>
      <c r="I2" s="2" t="s">
        <v>5</v>
      </c>
      <c r="J2" s="2" t="s">
        <v>6</v>
      </c>
      <c r="K2" s="2" t="s">
        <v>7</v>
      </c>
      <c r="L2" s="2" t="s">
        <v>8</v>
      </c>
      <c r="M2" s="37" t="s">
        <v>104</v>
      </c>
      <c r="N2" s="3" t="s">
        <v>10</v>
      </c>
      <c r="O2" s="3" t="s">
        <v>11</v>
      </c>
      <c r="P2" s="2" t="s">
        <v>5</v>
      </c>
      <c r="Q2" s="2" t="s">
        <v>6</v>
      </c>
      <c r="R2" s="2" t="s">
        <v>7</v>
      </c>
      <c r="S2" s="2" t="s">
        <v>8</v>
      </c>
      <c r="T2" s="37" t="s">
        <v>104</v>
      </c>
      <c r="U2" s="3" t="s">
        <v>10</v>
      </c>
      <c r="V2" s="3" t="s">
        <v>11</v>
      </c>
      <c r="W2" s="2" t="s">
        <v>5</v>
      </c>
      <c r="X2" s="2" t="s">
        <v>6</v>
      </c>
      <c r="Y2" s="2" t="s">
        <v>7</v>
      </c>
      <c r="Z2" s="2" t="s">
        <v>8</v>
      </c>
      <c r="AA2" s="37" t="s">
        <v>104</v>
      </c>
      <c r="AB2" s="3" t="s">
        <v>10</v>
      </c>
      <c r="AC2" s="3" t="s">
        <v>11</v>
      </c>
    </row>
    <row r="3" s="2" customFormat="1" ht="17.25" spans="1:29">
      <c r="A3" s="92" t="s">
        <v>105</v>
      </c>
      <c r="B3" s="2">
        <v>84</v>
      </c>
      <c r="C3" s="2">
        <v>61</v>
      </c>
      <c r="D3" s="2">
        <v>73</v>
      </c>
      <c r="E3" s="2">
        <v>81</v>
      </c>
      <c r="F3" s="2">
        <v>30</v>
      </c>
      <c r="G3" s="2">
        <f t="shared" ref="G3:G12" si="0">SUM(E3:F3)</f>
        <v>111</v>
      </c>
      <c r="H3" s="2">
        <f t="shared" ref="H3:H12" si="1">B3+C3+D3+E3+F3</f>
        <v>329</v>
      </c>
      <c r="I3" s="2">
        <v>62</v>
      </c>
      <c r="J3" s="2">
        <v>73</v>
      </c>
      <c r="K3" s="2">
        <v>62</v>
      </c>
      <c r="L3" s="2">
        <v>56</v>
      </c>
      <c r="M3" s="2">
        <v>26</v>
      </c>
      <c r="N3" s="2">
        <f>L3+M3</f>
        <v>82</v>
      </c>
      <c r="O3" s="2">
        <f t="shared" ref="O3:O12" si="2">I3+N3+J3+K3</f>
        <v>279</v>
      </c>
      <c r="P3" s="2">
        <v>82</v>
      </c>
      <c r="Q3" s="2">
        <v>67</v>
      </c>
      <c r="R3" s="2">
        <v>80</v>
      </c>
      <c r="S3" s="2">
        <v>67</v>
      </c>
      <c r="T3" s="2">
        <v>37.5</v>
      </c>
      <c r="U3" s="2">
        <f t="shared" ref="U3:U12" si="3">T3+S3</f>
        <v>104.5</v>
      </c>
      <c r="V3" s="2">
        <f t="shared" ref="V3:V12" si="4">U3+R3+Q3+P3</f>
        <v>333.5</v>
      </c>
      <c r="W3" s="2">
        <v>82</v>
      </c>
      <c r="X3" s="2">
        <v>54</v>
      </c>
      <c r="Y3" s="2">
        <v>64</v>
      </c>
      <c r="Z3" s="2">
        <v>82</v>
      </c>
      <c r="AA3" s="2">
        <v>39</v>
      </c>
      <c r="AB3" s="2">
        <f>Z3+AA3</f>
        <v>121</v>
      </c>
      <c r="AC3" s="2">
        <f>AB3+Y3+X3+W3</f>
        <v>321</v>
      </c>
    </row>
    <row r="4" s="2" customFormat="1" ht="17.25" spans="1:29">
      <c r="A4" s="92" t="s">
        <v>106</v>
      </c>
      <c r="B4" s="2">
        <v>56</v>
      </c>
      <c r="C4" s="2">
        <v>76</v>
      </c>
      <c r="D4" s="2">
        <v>72</v>
      </c>
      <c r="E4" s="2">
        <v>75</v>
      </c>
      <c r="F4" s="2">
        <v>39</v>
      </c>
      <c r="G4" s="2">
        <f t="shared" si="0"/>
        <v>114</v>
      </c>
      <c r="H4" s="2">
        <f t="shared" si="1"/>
        <v>318</v>
      </c>
      <c r="I4" s="2">
        <v>64</v>
      </c>
      <c r="J4" s="2">
        <v>63</v>
      </c>
      <c r="K4" s="2">
        <v>70</v>
      </c>
      <c r="L4" s="2">
        <v>56</v>
      </c>
      <c r="M4" s="2">
        <v>22</v>
      </c>
      <c r="N4" s="2">
        <f t="shared" ref="N4:N14" si="5">L4+M4</f>
        <v>78</v>
      </c>
      <c r="O4" s="2">
        <f t="shared" si="2"/>
        <v>275</v>
      </c>
      <c r="P4" s="2">
        <v>92</v>
      </c>
      <c r="Q4" s="2">
        <v>71</v>
      </c>
      <c r="R4" s="2">
        <v>76</v>
      </c>
      <c r="S4" s="2">
        <v>48</v>
      </c>
      <c r="T4" s="2">
        <v>34.5</v>
      </c>
      <c r="U4" s="2">
        <f t="shared" si="3"/>
        <v>82.5</v>
      </c>
      <c r="V4" s="2">
        <f t="shared" si="4"/>
        <v>321.5</v>
      </c>
      <c r="W4" s="2">
        <v>86</v>
      </c>
      <c r="X4" s="2">
        <v>81</v>
      </c>
      <c r="Y4" s="2">
        <v>70</v>
      </c>
      <c r="Z4" s="2">
        <v>59</v>
      </c>
      <c r="AA4" s="2">
        <v>39</v>
      </c>
      <c r="AB4" s="2">
        <f t="shared" ref="AB4:AB42" si="6">Z4+AA4</f>
        <v>98</v>
      </c>
      <c r="AC4" s="2">
        <f t="shared" ref="AC4:AC43" si="7">AB4+Y4+X4+W4</f>
        <v>335</v>
      </c>
    </row>
    <row r="5" s="2" customFormat="1" ht="17.25" spans="1:29">
      <c r="A5" s="92" t="s">
        <v>107</v>
      </c>
      <c r="B5" s="2">
        <v>42</v>
      </c>
      <c r="C5" s="2">
        <v>63</v>
      </c>
      <c r="D5" s="2">
        <v>60</v>
      </c>
      <c r="E5" s="2">
        <v>77</v>
      </c>
      <c r="F5" s="2">
        <v>36</v>
      </c>
      <c r="G5" s="2">
        <f t="shared" si="0"/>
        <v>113</v>
      </c>
      <c r="H5" s="2">
        <f t="shared" si="1"/>
        <v>278</v>
      </c>
      <c r="I5" s="2">
        <v>72</v>
      </c>
      <c r="J5" s="2">
        <v>68</v>
      </c>
      <c r="K5" s="2">
        <v>70</v>
      </c>
      <c r="L5" s="2">
        <v>47</v>
      </c>
      <c r="M5" s="2">
        <v>23</v>
      </c>
      <c r="N5" s="2">
        <f t="shared" si="5"/>
        <v>70</v>
      </c>
      <c r="O5" s="2">
        <f t="shared" si="2"/>
        <v>280</v>
      </c>
      <c r="P5" s="2">
        <v>78</v>
      </c>
      <c r="Q5" s="2">
        <v>66</v>
      </c>
      <c r="R5" s="2">
        <v>88</v>
      </c>
      <c r="S5" s="2">
        <v>53</v>
      </c>
      <c r="T5" s="2">
        <v>30</v>
      </c>
      <c r="U5" s="2">
        <f t="shared" si="3"/>
        <v>83</v>
      </c>
      <c r="V5" s="2">
        <f t="shared" si="4"/>
        <v>315</v>
      </c>
      <c r="W5" s="2">
        <v>76</v>
      </c>
      <c r="X5" s="2">
        <v>56</v>
      </c>
      <c r="Y5" s="2">
        <v>68</v>
      </c>
      <c r="Z5" s="2">
        <v>68</v>
      </c>
      <c r="AA5" s="2">
        <v>37.5</v>
      </c>
      <c r="AB5" s="2">
        <f t="shared" si="6"/>
        <v>105.5</v>
      </c>
      <c r="AC5" s="2">
        <f t="shared" si="7"/>
        <v>305.5</v>
      </c>
    </row>
    <row r="6" s="2" customFormat="1" ht="17.25" spans="1:29">
      <c r="A6" s="92" t="s">
        <v>108</v>
      </c>
      <c r="B6" s="2">
        <v>76</v>
      </c>
      <c r="C6" s="2">
        <v>66</v>
      </c>
      <c r="D6" s="2">
        <v>67</v>
      </c>
      <c r="E6" s="2">
        <v>86</v>
      </c>
      <c r="F6" s="2">
        <v>27</v>
      </c>
      <c r="G6" s="2">
        <f t="shared" si="0"/>
        <v>113</v>
      </c>
      <c r="H6" s="2">
        <f t="shared" si="1"/>
        <v>322</v>
      </c>
      <c r="I6" s="2">
        <v>62</v>
      </c>
      <c r="J6" s="2">
        <v>54</v>
      </c>
      <c r="K6" s="2">
        <v>78</v>
      </c>
      <c r="L6" s="2">
        <v>49</v>
      </c>
      <c r="M6" s="2">
        <v>21</v>
      </c>
      <c r="N6" s="2">
        <f t="shared" si="5"/>
        <v>70</v>
      </c>
      <c r="O6" s="2">
        <f t="shared" si="2"/>
        <v>264</v>
      </c>
      <c r="P6" s="2">
        <v>66</v>
      </c>
      <c r="Q6" s="2">
        <v>67</v>
      </c>
      <c r="R6" s="2">
        <v>62</v>
      </c>
      <c r="S6" s="2">
        <v>33</v>
      </c>
      <c r="T6" s="2">
        <v>36</v>
      </c>
      <c r="U6" s="2">
        <f t="shared" si="3"/>
        <v>69</v>
      </c>
      <c r="V6" s="2">
        <f t="shared" si="4"/>
        <v>264</v>
      </c>
      <c r="W6" s="2">
        <v>74</v>
      </c>
      <c r="X6" s="2">
        <v>65</v>
      </c>
      <c r="Y6" s="2">
        <v>78</v>
      </c>
      <c r="Z6" s="2">
        <v>72</v>
      </c>
      <c r="AA6" s="2">
        <v>31.5</v>
      </c>
      <c r="AB6" s="2">
        <f t="shared" si="6"/>
        <v>103.5</v>
      </c>
      <c r="AC6" s="2">
        <f t="shared" si="7"/>
        <v>320.5</v>
      </c>
    </row>
    <row r="7" s="2" customFormat="1" ht="17.25" spans="1:29">
      <c r="A7" s="92" t="s">
        <v>109</v>
      </c>
      <c r="B7" s="2">
        <v>84</v>
      </c>
      <c r="C7" s="2">
        <v>98</v>
      </c>
      <c r="D7" s="2">
        <v>71</v>
      </c>
      <c r="E7" s="2">
        <v>94</v>
      </c>
      <c r="F7" s="2">
        <v>39</v>
      </c>
      <c r="G7" s="2">
        <f t="shared" si="0"/>
        <v>133</v>
      </c>
      <c r="H7" s="2">
        <f t="shared" si="1"/>
        <v>386</v>
      </c>
      <c r="I7" s="2">
        <v>72</v>
      </c>
      <c r="J7" s="2">
        <v>89</v>
      </c>
      <c r="K7" s="2">
        <v>70</v>
      </c>
      <c r="L7" s="2">
        <v>69</v>
      </c>
      <c r="M7" s="2">
        <v>19</v>
      </c>
      <c r="N7" s="2">
        <f t="shared" si="5"/>
        <v>88</v>
      </c>
      <c r="O7" s="2">
        <f t="shared" si="2"/>
        <v>319</v>
      </c>
      <c r="P7" s="2">
        <v>86</v>
      </c>
      <c r="Q7" s="2">
        <v>91</v>
      </c>
      <c r="R7" s="2">
        <v>94</v>
      </c>
      <c r="S7" s="2">
        <v>72</v>
      </c>
      <c r="T7" s="2">
        <v>39</v>
      </c>
      <c r="U7" s="2">
        <f t="shared" si="3"/>
        <v>111</v>
      </c>
      <c r="V7" s="2">
        <f t="shared" si="4"/>
        <v>382</v>
      </c>
      <c r="W7" s="2">
        <v>84</v>
      </c>
      <c r="X7" s="2">
        <v>90</v>
      </c>
      <c r="Y7" s="2">
        <v>72</v>
      </c>
      <c r="Z7" s="2">
        <v>87</v>
      </c>
      <c r="AA7" s="2">
        <v>39</v>
      </c>
      <c r="AB7" s="2">
        <f t="shared" si="6"/>
        <v>126</v>
      </c>
      <c r="AC7" s="2">
        <f t="shared" si="7"/>
        <v>372</v>
      </c>
    </row>
    <row r="8" s="2" customFormat="1" ht="17.25" spans="1:29">
      <c r="A8" s="92" t="s">
        <v>110</v>
      </c>
      <c r="B8" s="2">
        <v>84</v>
      </c>
      <c r="C8" s="2">
        <v>95</v>
      </c>
      <c r="D8" s="2">
        <v>75</v>
      </c>
      <c r="E8" s="2">
        <v>92</v>
      </c>
      <c r="F8" s="2">
        <v>43.5</v>
      </c>
      <c r="G8" s="2">
        <f t="shared" si="0"/>
        <v>135.5</v>
      </c>
      <c r="H8" s="2">
        <f t="shared" si="1"/>
        <v>389.5</v>
      </c>
      <c r="I8" s="2">
        <v>84</v>
      </c>
      <c r="J8" s="2">
        <v>93</v>
      </c>
      <c r="K8" s="2">
        <v>70</v>
      </c>
      <c r="L8" s="2">
        <v>73</v>
      </c>
      <c r="M8" s="2">
        <v>24</v>
      </c>
      <c r="N8" s="2">
        <f t="shared" si="5"/>
        <v>97</v>
      </c>
      <c r="O8" s="2">
        <f t="shared" si="2"/>
        <v>344</v>
      </c>
      <c r="P8" s="2">
        <v>92</v>
      </c>
      <c r="Q8" s="2">
        <v>92</v>
      </c>
      <c r="R8" s="2">
        <v>82</v>
      </c>
      <c r="S8" s="2">
        <v>89</v>
      </c>
      <c r="T8" s="2">
        <v>39</v>
      </c>
      <c r="U8" s="2">
        <f t="shared" si="3"/>
        <v>128</v>
      </c>
      <c r="V8" s="2">
        <f t="shared" si="4"/>
        <v>394</v>
      </c>
      <c r="W8" s="2">
        <v>94</v>
      </c>
      <c r="X8" s="2">
        <v>99</v>
      </c>
      <c r="Y8" s="2">
        <v>82</v>
      </c>
      <c r="Z8" s="2">
        <v>84</v>
      </c>
      <c r="AA8" s="2">
        <v>37.5</v>
      </c>
      <c r="AB8" s="2">
        <f t="shared" si="6"/>
        <v>121.5</v>
      </c>
      <c r="AC8" s="2">
        <f t="shared" si="7"/>
        <v>396.5</v>
      </c>
    </row>
    <row r="9" s="2" customFormat="1" ht="17.25" spans="1:29">
      <c r="A9" s="92" t="s">
        <v>111</v>
      </c>
      <c r="B9" s="2">
        <v>86</v>
      </c>
      <c r="C9" s="2">
        <v>97</v>
      </c>
      <c r="D9" s="2">
        <v>60</v>
      </c>
      <c r="E9" s="2">
        <v>96</v>
      </c>
      <c r="F9" s="2">
        <v>36</v>
      </c>
      <c r="G9" s="2">
        <f t="shared" si="0"/>
        <v>132</v>
      </c>
      <c r="H9" s="2">
        <f t="shared" si="1"/>
        <v>375</v>
      </c>
      <c r="I9" s="2">
        <v>64</v>
      </c>
      <c r="J9" s="2">
        <v>95</v>
      </c>
      <c r="K9" s="2">
        <v>76</v>
      </c>
      <c r="L9" s="2">
        <v>65</v>
      </c>
      <c r="M9" s="2">
        <v>24</v>
      </c>
      <c r="N9" s="2">
        <f t="shared" si="5"/>
        <v>89</v>
      </c>
      <c r="O9" s="2">
        <f t="shared" si="2"/>
        <v>324</v>
      </c>
      <c r="P9" s="2">
        <v>70</v>
      </c>
      <c r="Q9" s="2">
        <v>87</v>
      </c>
      <c r="R9" s="2">
        <v>94</v>
      </c>
      <c r="S9" s="2">
        <v>83</v>
      </c>
      <c r="T9" s="2">
        <v>31.5</v>
      </c>
      <c r="U9" s="2">
        <f t="shared" si="3"/>
        <v>114.5</v>
      </c>
      <c r="V9" s="2">
        <f t="shared" si="4"/>
        <v>365.5</v>
      </c>
      <c r="W9" s="2">
        <v>86</v>
      </c>
      <c r="X9" s="2">
        <v>78</v>
      </c>
      <c r="Y9" s="2">
        <v>78</v>
      </c>
      <c r="Z9" s="2">
        <v>81</v>
      </c>
      <c r="AA9" s="2">
        <v>31.5</v>
      </c>
      <c r="AB9" s="2">
        <f t="shared" si="6"/>
        <v>112.5</v>
      </c>
      <c r="AC9" s="2">
        <f t="shared" si="7"/>
        <v>354.5</v>
      </c>
    </row>
    <row r="10" s="2" customFormat="1" ht="17.25" spans="1:29">
      <c r="A10" s="92" t="s">
        <v>112</v>
      </c>
      <c r="B10" s="2">
        <v>78</v>
      </c>
      <c r="C10" s="2">
        <v>93</v>
      </c>
      <c r="D10" s="2">
        <v>75</v>
      </c>
      <c r="E10" s="2">
        <v>73</v>
      </c>
      <c r="F10" s="2">
        <v>28.5</v>
      </c>
      <c r="G10" s="2">
        <f t="shared" si="0"/>
        <v>101.5</v>
      </c>
      <c r="H10" s="2">
        <f t="shared" si="1"/>
        <v>347.5</v>
      </c>
      <c r="I10" s="2">
        <v>68</v>
      </c>
      <c r="J10" s="2">
        <v>94</v>
      </c>
      <c r="K10" s="2">
        <v>76</v>
      </c>
      <c r="L10" s="2">
        <v>59</v>
      </c>
      <c r="M10" s="2">
        <v>21</v>
      </c>
      <c r="N10" s="2">
        <f t="shared" si="5"/>
        <v>80</v>
      </c>
      <c r="O10" s="2">
        <f t="shared" si="2"/>
        <v>318</v>
      </c>
      <c r="P10" s="2">
        <v>66</v>
      </c>
      <c r="Q10" s="2">
        <v>81</v>
      </c>
      <c r="R10" s="2">
        <v>72</v>
      </c>
      <c r="S10" s="2">
        <v>52</v>
      </c>
      <c r="T10" s="2">
        <v>25.5</v>
      </c>
      <c r="U10" s="2">
        <f t="shared" si="3"/>
        <v>77.5</v>
      </c>
      <c r="V10" s="2">
        <f t="shared" si="4"/>
        <v>296.5</v>
      </c>
      <c r="W10" s="2">
        <v>70</v>
      </c>
      <c r="X10" s="2">
        <v>93</v>
      </c>
      <c r="Y10" s="2">
        <v>70</v>
      </c>
      <c r="Z10" s="2">
        <v>75</v>
      </c>
      <c r="AA10" s="2">
        <v>36</v>
      </c>
      <c r="AB10" s="2">
        <f t="shared" si="6"/>
        <v>111</v>
      </c>
      <c r="AC10" s="2">
        <f t="shared" si="7"/>
        <v>344</v>
      </c>
    </row>
    <row r="11" s="2" customFormat="1" ht="17.25" spans="1:29">
      <c r="A11" s="92" t="s">
        <v>113</v>
      </c>
      <c r="B11" s="2">
        <v>62</v>
      </c>
      <c r="C11" s="2">
        <v>76</v>
      </c>
      <c r="D11" s="2">
        <v>70</v>
      </c>
      <c r="E11" s="2">
        <v>70</v>
      </c>
      <c r="F11" s="2">
        <v>25.5</v>
      </c>
      <c r="G11" s="2">
        <f t="shared" si="0"/>
        <v>95.5</v>
      </c>
      <c r="H11" s="2">
        <f t="shared" si="1"/>
        <v>303.5</v>
      </c>
      <c r="I11" s="2">
        <v>82</v>
      </c>
      <c r="J11" s="2">
        <v>53</v>
      </c>
      <c r="K11" s="2">
        <v>54</v>
      </c>
      <c r="L11" s="2">
        <v>57</v>
      </c>
      <c r="M11" s="2">
        <v>25</v>
      </c>
      <c r="N11" s="2">
        <f t="shared" si="5"/>
        <v>82</v>
      </c>
      <c r="O11" s="2">
        <f t="shared" si="2"/>
        <v>271</v>
      </c>
      <c r="P11" s="2">
        <v>68</v>
      </c>
      <c r="Q11" s="2">
        <v>54</v>
      </c>
      <c r="R11" s="2">
        <v>44</v>
      </c>
      <c r="S11" s="2">
        <v>55</v>
      </c>
      <c r="T11" s="2">
        <v>28.5</v>
      </c>
      <c r="U11" s="2">
        <f t="shared" si="3"/>
        <v>83.5</v>
      </c>
      <c r="V11" s="2">
        <f t="shared" si="4"/>
        <v>249.5</v>
      </c>
      <c r="W11" s="2">
        <v>66</v>
      </c>
      <c r="X11" s="2">
        <v>83</v>
      </c>
      <c r="Y11" s="2">
        <v>40</v>
      </c>
      <c r="Z11" s="2">
        <v>86</v>
      </c>
      <c r="AA11" s="2">
        <v>24</v>
      </c>
      <c r="AB11" s="2">
        <f t="shared" si="6"/>
        <v>110</v>
      </c>
      <c r="AC11" s="2">
        <f t="shared" si="7"/>
        <v>299</v>
      </c>
    </row>
    <row r="12" s="2" customFormat="1" ht="17.25" spans="1:29">
      <c r="A12" s="92" t="s">
        <v>114</v>
      </c>
      <c r="B12" s="2">
        <v>70</v>
      </c>
      <c r="C12" s="2">
        <v>85</v>
      </c>
      <c r="D12" s="2">
        <v>57</v>
      </c>
      <c r="E12" s="2">
        <v>81</v>
      </c>
      <c r="F12" s="2">
        <v>28.5</v>
      </c>
      <c r="G12" s="2">
        <f t="shared" si="0"/>
        <v>109.5</v>
      </c>
      <c r="H12" s="2">
        <f t="shared" si="1"/>
        <v>321.5</v>
      </c>
      <c r="I12" s="2">
        <v>60</v>
      </c>
      <c r="J12" s="2">
        <v>72</v>
      </c>
      <c r="K12" s="2">
        <v>74</v>
      </c>
      <c r="L12" s="2">
        <v>59</v>
      </c>
      <c r="M12" s="2">
        <v>22</v>
      </c>
      <c r="N12" s="2">
        <f t="shared" si="5"/>
        <v>81</v>
      </c>
      <c r="O12" s="2">
        <f t="shared" si="2"/>
        <v>287</v>
      </c>
      <c r="P12" s="2">
        <v>60</v>
      </c>
      <c r="Q12" s="2">
        <v>77</v>
      </c>
      <c r="R12" s="2">
        <v>76</v>
      </c>
      <c r="S12" s="2">
        <v>55</v>
      </c>
      <c r="T12" s="2">
        <v>34.5</v>
      </c>
      <c r="U12" s="2">
        <f t="shared" si="3"/>
        <v>89.5</v>
      </c>
      <c r="V12" s="2">
        <f t="shared" si="4"/>
        <v>302.5</v>
      </c>
      <c r="W12" s="2">
        <v>78</v>
      </c>
      <c r="X12" s="2">
        <v>80</v>
      </c>
      <c r="Y12" s="2">
        <v>60</v>
      </c>
      <c r="Z12" s="2">
        <v>78</v>
      </c>
      <c r="AA12" s="2">
        <v>30</v>
      </c>
      <c r="AB12" s="2">
        <f t="shared" si="6"/>
        <v>108</v>
      </c>
      <c r="AC12" s="2">
        <f t="shared" si="7"/>
        <v>326</v>
      </c>
    </row>
    <row r="13" s="2" customFormat="1" ht="17.25" spans="1:29">
      <c r="A13" s="92" t="s">
        <v>115</v>
      </c>
      <c r="B13" s="2">
        <v>68</v>
      </c>
      <c r="C13" s="2">
        <v>74</v>
      </c>
      <c r="D13" s="2">
        <v>72</v>
      </c>
      <c r="E13" s="2">
        <v>84</v>
      </c>
      <c r="F13" s="2">
        <v>31.5</v>
      </c>
      <c r="G13" s="2">
        <f t="shared" ref="G13:G46" si="8">SUM(E13:F13)</f>
        <v>115.5</v>
      </c>
      <c r="H13" s="2">
        <f t="shared" ref="H13:H45" si="9">B13+C13+D13+E13+F13</f>
        <v>329.5</v>
      </c>
      <c r="I13" s="2">
        <v>66</v>
      </c>
      <c r="J13" s="2">
        <v>57</v>
      </c>
      <c r="K13" s="2">
        <v>66</v>
      </c>
      <c r="L13" s="2">
        <v>46</v>
      </c>
      <c r="M13" s="2">
        <v>23</v>
      </c>
      <c r="N13" s="2">
        <f t="shared" si="5"/>
        <v>69</v>
      </c>
      <c r="O13" s="2">
        <f t="shared" ref="O13:O47" si="10">I13+N13+J13+K13</f>
        <v>258</v>
      </c>
      <c r="P13" s="2">
        <v>72</v>
      </c>
      <c r="Q13" s="2">
        <v>65</v>
      </c>
      <c r="R13" s="2">
        <v>72</v>
      </c>
      <c r="S13" s="2">
        <v>40</v>
      </c>
      <c r="T13" s="2">
        <v>39</v>
      </c>
      <c r="U13" s="2">
        <f t="shared" ref="U13:U43" si="11">T13+S13</f>
        <v>79</v>
      </c>
      <c r="V13" s="2">
        <f t="shared" ref="V13:V43" si="12">U13+R13+Q13+P13</f>
        <v>288</v>
      </c>
      <c r="W13" s="2">
        <v>84</v>
      </c>
      <c r="X13" s="2">
        <v>62</v>
      </c>
      <c r="Y13" s="2">
        <v>70</v>
      </c>
      <c r="Z13" s="2">
        <v>53</v>
      </c>
      <c r="AA13" s="2">
        <v>34.5</v>
      </c>
      <c r="AB13" s="2">
        <f t="shared" si="6"/>
        <v>87.5</v>
      </c>
      <c r="AC13" s="2">
        <f t="shared" si="7"/>
        <v>303.5</v>
      </c>
    </row>
    <row r="14" s="2" customFormat="1" ht="17.25" spans="1:29">
      <c r="A14" s="92" t="s">
        <v>116</v>
      </c>
      <c r="B14" s="2">
        <v>96</v>
      </c>
      <c r="C14" s="2">
        <v>89</v>
      </c>
      <c r="D14" s="2">
        <v>77</v>
      </c>
      <c r="E14" s="2">
        <v>90</v>
      </c>
      <c r="F14" s="2">
        <v>40.5</v>
      </c>
      <c r="G14" s="2">
        <f t="shared" si="8"/>
        <v>130.5</v>
      </c>
      <c r="H14" s="2">
        <f t="shared" si="9"/>
        <v>392.5</v>
      </c>
      <c r="I14" s="16"/>
      <c r="J14" s="16"/>
      <c r="K14" s="16"/>
      <c r="L14" s="16"/>
      <c r="M14" s="16"/>
      <c r="N14" s="16"/>
      <c r="O14" s="16" t="s">
        <v>14</v>
      </c>
      <c r="P14" s="16"/>
      <c r="Q14" s="16"/>
      <c r="R14" s="16"/>
      <c r="S14" s="16"/>
      <c r="T14" s="16"/>
      <c r="U14" s="16"/>
      <c r="V14" s="16" t="s">
        <v>14</v>
      </c>
      <c r="W14" s="2">
        <v>66</v>
      </c>
      <c r="X14" s="2">
        <v>77</v>
      </c>
      <c r="Y14" s="2">
        <v>52</v>
      </c>
      <c r="Z14" s="2">
        <v>86</v>
      </c>
      <c r="AA14" s="2">
        <v>34.5</v>
      </c>
      <c r="AB14" s="2">
        <f t="shared" si="6"/>
        <v>120.5</v>
      </c>
      <c r="AC14" s="2">
        <f t="shared" si="7"/>
        <v>315.5</v>
      </c>
    </row>
    <row r="15" s="2" customFormat="1" ht="17.25" spans="1:29">
      <c r="A15" s="92" t="s">
        <v>117</v>
      </c>
      <c r="B15" s="2">
        <v>66</v>
      </c>
      <c r="C15" s="2">
        <v>59</v>
      </c>
      <c r="D15" s="2">
        <v>64</v>
      </c>
      <c r="E15" s="2">
        <v>78</v>
      </c>
      <c r="F15" s="2">
        <v>30</v>
      </c>
      <c r="G15" s="2">
        <f t="shared" si="8"/>
        <v>108</v>
      </c>
      <c r="H15" s="2">
        <f t="shared" si="9"/>
        <v>297</v>
      </c>
      <c r="I15" s="2">
        <v>66</v>
      </c>
      <c r="J15" s="2">
        <v>67</v>
      </c>
      <c r="K15" s="2">
        <v>58</v>
      </c>
      <c r="L15" s="2">
        <v>46</v>
      </c>
      <c r="M15" s="2">
        <v>20</v>
      </c>
      <c r="N15" s="2">
        <f>L15+M15</f>
        <v>66</v>
      </c>
      <c r="O15" s="2">
        <f t="shared" si="10"/>
        <v>257</v>
      </c>
      <c r="P15" s="2">
        <v>62</v>
      </c>
      <c r="Q15" s="2">
        <v>62</v>
      </c>
      <c r="R15" s="2">
        <v>74</v>
      </c>
      <c r="S15" s="2">
        <v>50</v>
      </c>
      <c r="T15" s="2">
        <v>30</v>
      </c>
      <c r="U15" s="2">
        <f t="shared" si="11"/>
        <v>80</v>
      </c>
      <c r="V15" s="2">
        <f t="shared" si="12"/>
        <v>278</v>
      </c>
      <c r="W15" s="2">
        <v>56</v>
      </c>
      <c r="X15" s="2">
        <v>63</v>
      </c>
      <c r="Y15" s="2">
        <v>62</v>
      </c>
      <c r="Z15" s="2">
        <v>76</v>
      </c>
      <c r="AA15" s="2">
        <v>34.5</v>
      </c>
      <c r="AB15" s="2">
        <f t="shared" si="6"/>
        <v>110.5</v>
      </c>
      <c r="AC15" s="2">
        <f t="shared" si="7"/>
        <v>291.5</v>
      </c>
    </row>
    <row r="16" s="2" customFormat="1" ht="17.25" spans="1:29">
      <c r="A16" s="93" t="s">
        <v>118</v>
      </c>
      <c r="B16" s="2">
        <v>56</v>
      </c>
      <c r="C16" s="2">
        <v>75</v>
      </c>
      <c r="D16" s="2">
        <v>66</v>
      </c>
      <c r="E16" s="2">
        <v>86</v>
      </c>
      <c r="F16" s="2">
        <v>30</v>
      </c>
      <c r="G16" s="2">
        <f t="shared" si="8"/>
        <v>116</v>
      </c>
      <c r="H16" s="2">
        <f t="shared" si="9"/>
        <v>313</v>
      </c>
      <c r="I16" s="2">
        <v>72</v>
      </c>
      <c r="J16" s="2">
        <v>64</v>
      </c>
      <c r="K16" s="2">
        <v>62</v>
      </c>
      <c r="L16" s="2">
        <v>55</v>
      </c>
      <c r="M16" s="2">
        <v>15</v>
      </c>
      <c r="N16" s="2">
        <f t="shared" ref="N16:N33" si="13">L16+M16</f>
        <v>70</v>
      </c>
      <c r="O16" s="2">
        <f t="shared" si="10"/>
        <v>268</v>
      </c>
      <c r="P16" s="2">
        <v>70</v>
      </c>
      <c r="Q16" s="2">
        <v>66</v>
      </c>
      <c r="R16" s="2">
        <v>76</v>
      </c>
      <c r="S16" s="2">
        <v>72</v>
      </c>
      <c r="T16" s="2">
        <v>30</v>
      </c>
      <c r="U16" s="2">
        <f t="shared" si="11"/>
        <v>102</v>
      </c>
      <c r="V16" s="2">
        <f t="shared" si="12"/>
        <v>314</v>
      </c>
      <c r="W16" s="2">
        <v>62</v>
      </c>
      <c r="X16" s="2">
        <v>58</v>
      </c>
      <c r="Y16" s="2">
        <v>78</v>
      </c>
      <c r="Z16" s="2">
        <v>52</v>
      </c>
      <c r="AA16" s="2">
        <v>36</v>
      </c>
      <c r="AB16" s="2">
        <f t="shared" si="6"/>
        <v>88</v>
      </c>
      <c r="AC16" s="2">
        <f t="shared" si="7"/>
        <v>286</v>
      </c>
    </row>
    <row r="17" s="2" customFormat="1" ht="17.25" spans="1:29">
      <c r="A17" s="92" t="s">
        <v>119</v>
      </c>
      <c r="B17" s="2">
        <v>88</v>
      </c>
      <c r="C17" s="2">
        <v>97</v>
      </c>
      <c r="D17" s="2">
        <v>58</v>
      </c>
      <c r="E17" s="2">
        <v>83</v>
      </c>
      <c r="F17" s="2">
        <v>31.5</v>
      </c>
      <c r="G17" s="2">
        <f t="shared" si="8"/>
        <v>114.5</v>
      </c>
      <c r="H17" s="2">
        <f t="shared" si="9"/>
        <v>357.5</v>
      </c>
      <c r="I17" s="2">
        <v>70</v>
      </c>
      <c r="J17" s="2">
        <v>80</v>
      </c>
      <c r="K17" s="2">
        <v>82</v>
      </c>
      <c r="L17" s="2">
        <v>60</v>
      </c>
      <c r="M17" s="2">
        <v>24</v>
      </c>
      <c r="N17" s="2">
        <f t="shared" si="13"/>
        <v>84</v>
      </c>
      <c r="O17" s="2">
        <f t="shared" si="10"/>
        <v>316</v>
      </c>
      <c r="P17" s="2">
        <v>84</v>
      </c>
      <c r="Q17" s="2">
        <v>92</v>
      </c>
      <c r="R17" s="2">
        <v>82</v>
      </c>
      <c r="S17" s="2">
        <v>69</v>
      </c>
      <c r="T17" s="2">
        <v>34.5</v>
      </c>
      <c r="U17" s="2">
        <f t="shared" si="11"/>
        <v>103.5</v>
      </c>
      <c r="V17" s="2">
        <f t="shared" si="12"/>
        <v>361.5</v>
      </c>
      <c r="W17" s="2">
        <v>88</v>
      </c>
      <c r="X17" s="2">
        <v>92</v>
      </c>
      <c r="Y17" s="2">
        <v>80</v>
      </c>
      <c r="Z17" s="2">
        <v>81</v>
      </c>
      <c r="AA17" s="2">
        <v>36</v>
      </c>
      <c r="AB17" s="2">
        <f t="shared" si="6"/>
        <v>117</v>
      </c>
      <c r="AC17" s="2">
        <f t="shared" si="7"/>
        <v>377</v>
      </c>
    </row>
    <row r="18" s="2" customFormat="1" ht="17.25" spans="1:29">
      <c r="A18" s="92" t="s">
        <v>120</v>
      </c>
      <c r="B18" s="2">
        <v>82</v>
      </c>
      <c r="C18" s="2">
        <v>85</v>
      </c>
      <c r="D18" s="2">
        <v>70</v>
      </c>
      <c r="E18" s="2">
        <v>60</v>
      </c>
      <c r="F18" s="2">
        <v>40.5</v>
      </c>
      <c r="G18" s="2">
        <f t="shared" si="8"/>
        <v>100.5</v>
      </c>
      <c r="H18" s="2">
        <f t="shared" si="9"/>
        <v>337.5</v>
      </c>
      <c r="I18" s="2">
        <v>68</v>
      </c>
      <c r="J18" s="2">
        <v>74</v>
      </c>
      <c r="K18" s="2">
        <v>80</v>
      </c>
      <c r="L18" s="2">
        <v>58</v>
      </c>
      <c r="M18" s="2">
        <v>24</v>
      </c>
      <c r="N18" s="2">
        <f t="shared" si="13"/>
        <v>82</v>
      </c>
      <c r="O18" s="2">
        <f t="shared" si="10"/>
        <v>304</v>
      </c>
      <c r="P18" s="2">
        <v>86</v>
      </c>
      <c r="Q18" s="2">
        <v>55</v>
      </c>
      <c r="R18" s="2">
        <v>64</v>
      </c>
      <c r="S18" s="2">
        <v>45</v>
      </c>
      <c r="T18" s="2">
        <v>36</v>
      </c>
      <c r="U18" s="2">
        <f t="shared" si="11"/>
        <v>81</v>
      </c>
      <c r="V18" s="2">
        <f t="shared" si="12"/>
        <v>286</v>
      </c>
      <c r="W18" s="2">
        <v>92</v>
      </c>
      <c r="X18" s="2">
        <v>91</v>
      </c>
      <c r="Y18" s="2">
        <v>76</v>
      </c>
      <c r="Z18" s="2">
        <v>64</v>
      </c>
      <c r="AA18" s="2">
        <v>36</v>
      </c>
      <c r="AB18" s="2">
        <f t="shared" si="6"/>
        <v>100</v>
      </c>
      <c r="AC18" s="2">
        <f t="shared" si="7"/>
        <v>359</v>
      </c>
    </row>
    <row r="19" s="2" customFormat="1" ht="17.25" spans="1:29">
      <c r="A19" s="92" t="s">
        <v>121</v>
      </c>
      <c r="B19" s="2">
        <v>90</v>
      </c>
      <c r="C19" s="2">
        <v>99</v>
      </c>
      <c r="D19" s="2">
        <v>84</v>
      </c>
      <c r="E19" s="2">
        <v>89</v>
      </c>
      <c r="F19" s="2">
        <v>36</v>
      </c>
      <c r="G19" s="2">
        <f t="shared" si="8"/>
        <v>125</v>
      </c>
      <c r="H19" s="2">
        <f t="shared" si="9"/>
        <v>398</v>
      </c>
      <c r="I19" s="2">
        <v>86</v>
      </c>
      <c r="J19" s="2">
        <v>87</v>
      </c>
      <c r="K19" s="2">
        <v>84</v>
      </c>
      <c r="L19" s="2">
        <v>68</v>
      </c>
      <c r="M19" s="2">
        <v>23</v>
      </c>
      <c r="N19" s="2">
        <f t="shared" si="13"/>
        <v>91</v>
      </c>
      <c r="O19" s="2">
        <f t="shared" si="10"/>
        <v>348</v>
      </c>
      <c r="P19" s="2">
        <v>94</v>
      </c>
      <c r="Q19" s="2">
        <v>92</v>
      </c>
      <c r="R19" s="2">
        <v>90</v>
      </c>
      <c r="S19" s="2">
        <v>64</v>
      </c>
      <c r="T19" s="2">
        <v>34.5</v>
      </c>
      <c r="U19" s="2">
        <f t="shared" si="11"/>
        <v>98.5</v>
      </c>
      <c r="V19" s="2">
        <f t="shared" si="12"/>
        <v>374.5</v>
      </c>
      <c r="W19" s="2">
        <v>90</v>
      </c>
      <c r="X19" s="2">
        <v>88</v>
      </c>
      <c r="Y19" s="2">
        <v>74</v>
      </c>
      <c r="Z19" s="2">
        <v>82</v>
      </c>
      <c r="AA19" s="2">
        <v>37.5</v>
      </c>
      <c r="AB19" s="2">
        <f t="shared" si="6"/>
        <v>119.5</v>
      </c>
      <c r="AC19" s="2">
        <f t="shared" si="7"/>
        <v>371.5</v>
      </c>
    </row>
    <row r="20" s="2" customFormat="1" ht="17.25" spans="1:29">
      <c r="A20" s="92" t="s">
        <v>122</v>
      </c>
      <c r="B20" s="2">
        <v>94</v>
      </c>
      <c r="C20" s="2">
        <v>92</v>
      </c>
      <c r="D20" s="2">
        <v>80</v>
      </c>
      <c r="E20" s="2">
        <v>86</v>
      </c>
      <c r="F20" s="2">
        <v>40.5</v>
      </c>
      <c r="G20" s="2">
        <f t="shared" si="8"/>
        <v>126.5</v>
      </c>
      <c r="H20" s="2">
        <f t="shared" si="9"/>
        <v>392.5</v>
      </c>
      <c r="I20" s="2">
        <v>84</v>
      </c>
      <c r="J20" s="2">
        <v>91</v>
      </c>
      <c r="K20" s="2">
        <v>70</v>
      </c>
      <c r="L20" s="2">
        <v>87</v>
      </c>
      <c r="M20" s="2">
        <v>24</v>
      </c>
      <c r="N20" s="2">
        <f t="shared" si="13"/>
        <v>111</v>
      </c>
      <c r="O20" s="2">
        <f t="shared" si="10"/>
        <v>356</v>
      </c>
      <c r="P20" s="2">
        <v>96</v>
      </c>
      <c r="Q20" s="2">
        <v>89</v>
      </c>
      <c r="R20" s="2">
        <v>90</v>
      </c>
      <c r="S20" s="2">
        <v>78</v>
      </c>
      <c r="T20" s="2">
        <v>40.5</v>
      </c>
      <c r="U20" s="2">
        <f t="shared" si="11"/>
        <v>118.5</v>
      </c>
      <c r="V20" s="2">
        <f t="shared" si="12"/>
        <v>393.5</v>
      </c>
      <c r="W20" s="2">
        <v>92</v>
      </c>
      <c r="X20" s="2">
        <v>94</v>
      </c>
      <c r="Y20" s="2">
        <v>88</v>
      </c>
      <c r="Z20" s="2">
        <v>93</v>
      </c>
      <c r="AA20" s="2">
        <v>42</v>
      </c>
      <c r="AB20" s="2">
        <f t="shared" si="6"/>
        <v>135</v>
      </c>
      <c r="AC20" s="2">
        <f t="shared" si="7"/>
        <v>409</v>
      </c>
    </row>
    <row r="21" s="2" customFormat="1" ht="17.25" spans="1:29">
      <c r="A21" s="92" t="s">
        <v>123</v>
      </c>
      <c r="B21" s="2">
        <v>82</v>
      </c>
      <c r="C21" s="2">
        <v>94</v>
      </c>
      <c r="D21" s="2">
        <v>84</v>
      </c>
      <c r="E21" s="2">
        <v>105</v>
      </c>
      <c r="F21" s="2">
        <v>28.5</v>
      </c>
      <c r="G21" s="2">
        <f t="shared" si="8"/>
        <v>133.5</v>
      </c>
      <c r="H21" s="2">
        <f t="shared" si="9"/>
        <v>393.5</v>
      </c>
      <c r="I21" s="2">
        <v>82</v>
      </c>
      <c r="J21" s="2">
        <v>82</v>
      </c>
      <c r="K21" s="2">
        <v>72</v>
      </c>
      <c r="L21" s="2">
        <v>75</v>
      </c>
      <c r="M21" s="2">
        <v>22</v>
      </c>
      <c r="N21" s="2">
        <f t="shared" si="13"/>
        <v>97</v>
      </c>
      <c r="O21" s="2">
        <f t="shared" si="10"/>
        <v>333</v>
      </c>
      <c r="P21" s="2">
        <v>84</v>
      </c>
      <c r="Q21" s="2">
        <v>84</v>
      </c>
      <c r="R21" s="2">
        <v>88</v>
      </c>
      <c r="S21" s="2">
        <v>93</v>
      </c>
      <c r="T21" s="2">
        <v>36</v>
      </c>
      <c r="U21" s="2">
        <f t="shared" si="11"/>
        <v>129</v>
      </c>
      <c r="V21" s="2">
        <f t="shared" si="12"/>
        <v>385</v>
      </c>
      <c r="W21" s="2">
        <v>90</v>
      </c>
      <c r="X21" s="2">
        <v>93</v>
      </c>
      <c r="Y21" s="2">
        <v>76</v>
      </c>
      <c r="Z21" s="2">
        <v>79</v>
      </c>
      <c r="AA21" s="2">
        <v>33</v>
      </c>
      <c r="AB21" s="2">
        <f t="shared" si="6"/>
        <v>112</v>
      </c>
      <c r="AC21" s="2">
        <f t="shared" si="7"/>
        <v>371</v>
      </c>
    </row>
    <row r="22" s="2" customFormat="1" ht="17.25" spans="1:29">
      <c r="A22" s="92" t="s">
        <v>124</v>
      </c>
      <c r="B22" s="2">
        <v>78</v>
      </c>
      <c r="C22" s="2">
        <v>80</v>
      </c>
      <c r="D22" s="2">
        <v>82</v>
      </c>
      <c r="E22" s="2">
        <v>87</v>
      </c>
      <c r="F22" s="2">
        <v>34.5</v>
      </c>
      <c r="G22" s="2">
        <f t="shared" si="8"/>
        <v>121.5</v>
      </c>
      <c r="H22" s="2">
        <f t="shared" si="9"/>
        <v>361.5</v>
      </c>
      <c r="I22" s="2">
        <v>70</v>
      </c>
      <c r="J22" s="2">
        <v>80</v>
      </c>
      <c r="K22" s="2">
        <v>84</v>
      </c>
      <c r="L22" s="2">
        <v>66</v>
      </c>
      <c r="M22" s="2">
        <v>22</v>
      </c>
      <c r="N22" s="2">
        <f t="shared" si="13"/>
        <v>88</v>
      </c>
      <c r="O22" s="2">
        <f t="shared" si="10"/>
        <v>322</v>
      </c>
      <c r="P22" s="2">
        <v>82</v>
      </c>
      <c r="Q22" s="2">
        <v>82</v>
      </c>
      <c r="R22" s="2">
        <v>88</v>
      </c>
      <c r="S22" s="2">
        <v>83</v>
      </c>
      <c r="T22" s="2">
        <v>40.5</v>
      </c>
      <c r="U22" s="2">
        <f t="shared" si="11"/>
        <v>123.5</v>
      </c>
      <c r="V22" s="2">
        <f t="shared" si="12"/>
        <v>375.5</v>
      </c>
      <c r="W22" s="2">
        <v>84</v>
      </c>
      <c r="X22" s="2">
        <v>78</v>
      </c>
      <c r="Y22" s="2">
        <v>82</v>
      </c>
      <c r="Z22" s="2">
        <v>81</v>
      </c>
      <c r="AA22" s="2">
        <v>40.5</v>
      </c>
      <c r="AB22" s="2">
        <f t="shared" si="6"/>
        <v>121.5</v>
      </c>
      <c r="AC22" s="2">
        <f t="shared" si="7"/>
        <v>365.5</v>
      </c>
    </row>
    <row r="23" s="2" customFormat="1" ht="17.25" spans="1:29">
      <c r="A23" s="92" t="s">
        <v>125</v>
      </c>
      <c r="B23" s="2">
        <v>78</v>
      </c>
      <c r="C23" s="2">
        <v>95</v>
      </c>
      <c r="D23" s="2">
        <v>74</v>
      </c>
      <c r="E23" s="2">
        <v>84</v>
      </c>
      <c r="F23" s="2">
        <v>33</v>
      </c>
      <c r="G23" s="2">
        <f t="shared" si="8"/>
        <v>117</v>
      </c>
      <c r="H23" s="2">
        <f t="shared" si="9"/>
        <v>364</v>
      </c>
      <c r="I23" s="2">
        <v>64</v>
      </c>
      <c r="J23" s="2">
        <v>75</v>
      </c>
      <c r="K23" s="2">
        <v>68</v>
      </c>
      <c r="L23" s="2">
        <v>76</v>
      </c>
      <c r="M23" s="2">
        <v>24</v>
      </c>
      <c r="N23" s="2">
        <f t="shared" si="13"/>
        <v>100</v>
      </c>
      <c r="O23" s="2">
        <f t="shared" si="10"/>
        <v>307</v>
      </c>
      <c r="P23" s="2">
        <v>66</v>
      </c>
      <c r="Q23" s="2">
        <v>81</v>
      </c>
      <c r="R23" s="2">
        <v>68</v>
      </c>
      <c r="S23" s="2">
        <v>43</v>
      </c>
      <c r="T23" s="2">
        <v>31.5</v>
      </c>
      <c r="U23" s="2">
        <f t="shared" si="11"/>
        <v>74.5</v>
      </c>
      <c r="V23" s="2">
        <f t="shared" si="12"/>
        <v>289.5</v>
      </c>
      <c r="W23" s="2">
        <v>92</v>
      </c>
      <c r="X23" s="2">
        <v>91</v>
      </c>
      <c r="Y23" s="2">
        <v>68</v>
      </c>
      <c r="Z23" s="2">
        <v>54</v>
      </c>
      <c r="AA23" s="2">
        <v>36</v>
      </c>
      <c r="AB23" s="2">
        <f t="shared" si="6"/>
        <v>90</v>
      </c>
      <c r="AC23" s="2">
        <f t="shared" si="7"/>
        <v>341</v>
      </c>
    </row>
    <row r="24" s="2" customFormat="1" ht="17.25" spans="1:29">
      <c r="A24" s="92" t="s">
        <v>126</v>
      </c>
      <c r="B24" s="2">
        <v>72</v>
      </c>
      <c r="C24" s="2">
        <v>84</v>
      </c>
      <c r="D24" s="2">
        <v>76</v>
      </c>
      <c r="E24" s="2">
        <v>72</v>
      </c>
      <c r="F24" s="2">
        <v>34.5</v>
      </c>
      <c r="G24" s="2">
        <f t="shared" si="8"/>
        <v>106.5</v>
      </c>
      <c r="H24" s="2">
        <f t="shared" si="9"/>
        <v>338.5</v>
      </c>
      <c r="I24" s="2">
        <v>60</v>
      </c>
      <c r="J24" s="2">
        <v>53</v>
      </c>
      <c r="K24" s="2">
        <v>68</v>
      </c>
      <c r="L24" s="2">
        <v>52</v>
      </c>
      <c r="M24" s="2">
        <v>20</v>
      </c>
      <c r="N24" s="2">
        <f t="shared" si="13"/>
        <v>72</v>
      </c>
      <c r="O24" s="2">
        <f t="shared" si="10"/>
        <v>253</v>
      </c>
      <c r="P24" s="2">
        <v>78</v>
      </c>
      <c r="Q24" s="2">
        <v>82</v>
      </c>
      <c r="R24" s="2">
        <v>72</v>
      </c>
      <c r="S24" s="2">
        <v>41</v>
      </c>
      <c r="T24" s="2">
        <v>37.5</v>
      </c>
      <c r="U24" s="2">
        <f t="shared" si="11"/>
        <v>78.5</v>
      </c>
      <c r="V24" s="2">
        <f t="shared" si="12"/>
        <v>310.5</v>
      </c>
      <c r="W24" s="2">
        <v>84</v>
      </c>
      <c r="X24" s="2">
        <v>85</v>
      </c>
      <c r="Y24" s="2">
        <v>62</v>
      </c>
      <c r="Z24" s="2">
        <v>80</v>
      </c>
      <c r="AA24" s="2">
        <v>37.5</v>
      </c>
      <c r="AB24" s="2">
        <f t="shared" si="6"/>
        <v>117.5</v>
      </c>
      <c r="AC24" s="2">
        <f t="shared" si="7"/>
        <v>348.5</v>
      </c>
    </row>
    <row r="25" s="2" customFormat="1" ht="17.25" spans="1:29">
      <c r="A25" s="92" t="s">
        <v>127</v>
      </c>
      <c r="B25" s="2">
        <v>86</v>
      </c>
      <c r="C25" s="2">
        <v>86</v>
      </c>
      <c r="D25" s="2">
        <v>73</v>
      </c>
      <c r="E25" s="2">
        <v>91</v>
      </c>
      <c r="F25" s="2">
        <v>34.5</v>
      </c>
      <c r="G25" s="2">
        <f t="shared" si="8"/>
        <v>125.5</v>
      </c>
      <c r="H25" s="2">
        <f t="shared" si="9"/>
        <v>370.5</v>
      </c>
      <c r="I25" s="2">
        <v>74</v>
      </c>
      <c r="J25" s="2">
        <v>78</v>
      </c>
      <c r="K25" s="2">
        <v>80</v>
      </c>
      <c r="L25" s="2">
        <v>67</v>
      </c>
      <c r="M25" s="2">
        <v>21</v>
      </c>
      <c r="N25" s="2">
        <f t="shared" si="13"/>
        <v>88</v>
      </c>
      <c r="O25" s="2">
        <f t="shared" si="10"/>
        <v>320</v>
      </c>
      <c r="P25" s="2">
        <v>90</v>
      </c>
      <c r="Q25" s="2">
        <v>82</v>
      </c>
      <c r="R25" s="2">
        <v>88</v>
      </c>
      <c r="S25" s="2">
        <v>69</v>
      </c>
      <c r="T25" s="2">
        <v>42</v>
      </c>
      <c r="U25" s="2">
        <f t="shared" si="11"/>
        <v>111</v>
      </c>
      <c r="V25" s="2">
        <f t="shared" si="12"/>
        <v>371</v>
      </c>
      <c r="W25" s="2">
        <v>92</v>
      </c>
      <c r="X25" s="2">
        <v>93</v>
      </c>
      <c r="Y25" s="2">
        <v>82</v>
      </c>
      <c r="Z25" s="2">
        <v>81</v>
      </c>
      <c r="AA25" s="2">
        <v>42</v>
      </c>
      <c r="AB25" s="2">
        <f t="shared" si="6"/>
        <v>123</v>
      </c>
      <c r="AC25" s="2">
        <f t="shared" si="7"/>
        <v>390</v>
      </c>
    </row>
    <row r="26" s="2" customFormat="1" ht="17.25" spans="1:29">
      <c r="A26" s="92" t="s">
        <v>128</v>
      </c>
      <c r="B26" s="2">
        <v>66</v>
      </c>
      <c r="C26" s="2">
        <v>50</v>
      </c>
      <c r="D26" s="2">
        <v>59</v>
      </c>
      <c r="E26" s="2">
        <v>69</v>
      </c>
      <c r="F26" s="2">
        <v>31.5</v>
      </c>
      <c r="G26" s="2">
        <f t="shared" si="8"/>
        <v>100.5</v>
      </c>
      <c r="H26" s="2">
        <f t="shared" si="9"/>
        <v>275.5</v>
      </c>
      <c r="I26" s="2">
        <v>72</v>
      </c>
      <c r="J26" s="2">
        <v>46</v>
      </c>
      <c r="K26" s="2">
        <v>66</v>
      </c>
      <c r="L26" s="2">
        <v>39</v>
      </c>
      <c r="M26" s="2">
        <v>25</v>
      </c>
      <c r="N26" s="2">
        <f t="shared" si="13"/>
        <v>64</v>
      </c>
      <c r="O26" s="2">
        <f t="shared" si="10"/>
        <v>248</v>
      </c>
      <c r="P26" s="2">
        <v>76</v>
      </c>
      <c r="Q26" s="2">
        <v>51</v>
      </c>
      <c r="R26" s="2">
        <v>76</v>
      </c>
      <c r="S26" s="2">
        <v>29</v>
      </c>
      <c r="T26" s="2">
        <v>34.5</v>
      </c>
      <c r="U26" s="2">
        <f t="shared" si="11"/>
        <v>63.5</v>
      </c>
      <c r="V26" s="2">
        <f t="shared" si="12"/>
        <v>266.5</v>
      </c>
      <c r="W26" s="2">
        <v>78</v>
      </c>
      <c r="X26" s="2">
        <v>59</v>
      </c>
      <c r="Y26" s="2">
        <v>60</v>
      </c>
      <c r="Z26" s="2">
        <v>47</v>
      </c>
      <c r="AA26" s="2">
        <v>39</v>
      </c>
      <c r="AB26" s="2">
        <f t="shared" si="6"/>
        <v>86</v>
      </c>
      <c r="AC26" s="2">
        <f t="shared" si="7"/>
        <v>283</v>
      </c>
    </row>
    <row r="27" s="2" customFormat="1" ht="17.25" spans="1:29">
      <c r="A27" s="93" t="s">
        <v>129</v>
      </c>
      <c r="B27" s="2">
        <v>76</v>
      </c>
      <c r="C27" s="2">
        <v>79</v>
      </c>
      <c r="D27" s="2">
        <v>63</v>
      </c>
      <c r="E27" s="2">
        <v>91</v>
      </c>
      <c r="F27" s="2">
        <v>34.5</v>
      </c>
      <c r="G27" s="2">
        <f t="shared" si="8"/>
        <v>125.5</v>
      </c>
      <c r="H27" s="2">
        <f t="shared" si="9"/>
        <v>343.5</v>
      </c>
      <c r="I27" s="2">
        <v>72</v>
      </c>
      <c r="J27" s="2">
        <v>76</v>
      </c>
      <c r="K27" s="2">
        <v>88</v>
      </c>
      <c r="L27" s="2">
        <v>70</v>
      </c>
      <c r="M27" s="2">
        <v>27</v>
      </c>
      <c r="N27" s="2">
        <f t="shared" si="13"/>
        <v>97</v>
      </c>
      <c r="O27" s="2">
        <f t="shared" si="10"/>
        <v>333</v>
      </c>
      <c r="P27" s="2">
        <v>82</v>
      </c>
      <c r="Q27" s="2">
        <v>92</v>
      </c>
      <c r="R27" s="2">
        <v>92</v>
      </c>
      <c r="S27" s="2">
        <v>90</v>
      </c>
      <c r="T27" s="2">
        <v>40.5</v>
      </c>
      <c r="U27" s="2">
        <f t="shared" si="11"/>
        <v>130.5</v>
      </c>
      <c r="V27" s="2">
        <f t="shared" si="12"/>
        <v>396.5</v>
      </c>
      <c r="AC27" s="16" t="s">
        <v>14</v>
      </c>
    </row>
    <row r="28" s="2" customFormat="1" ht="17.25" spans="1:29">
      <c r="A28" s="93" t="s">
        <v>130</v>
      </c>
      <c r="B28" s="2">
        <v>86</v>
      </c>
      <c r="C28" s="2">
        <v>76</v>
      </c>
      <c r="D28" s="2">
        <v>71</v>
      </c>
      <c r="E28" s="2">
        <v>80</v>
      </c>
      <c r="F28" s="2">
        <v>36</v>
      </c>
      <c r="G28" s="2">
        <f t="shared" si="8"/>
        <v>116</v>
      </c>
      <c r="H28" s="2">
        <f t="shared" si="9"/>
        <v>349</v>
      </c>
      <c r="I28" s="2">
        <v>74</v>
      </c>
      <c r="J28" s="2">
        <v>77</v>
      </c>
      <c r="K28" s="2">
        <v>82</v>
      </c>
      <c r="L28" s="2">
        <v>68</v>
      </c>
      <c r="M28" s="2">
        <v>26</v>
      </c>
      <c r="N28" s="2">
        <f t="shared" si="13"/>
        <v>94</v>
      </c>
      <c r="O28" s="2">
        <f t="shared" si="10"/>
        <v>327</v>
      </c>
      <c r="P28" s="2">
        <v>74</v>
      </c>
      <c r="Q28" s="2">
        <v>79</v>
      </c>
      <c r="R28" s="2">
        <v>84</v>
      </c>
      <c r="S28" s="2">
        <v>72</v>
      </c>
      <c r="T28" s="2">
        <v>39</v>
      </c>
      <c r="U28" s="2">
        <f t="shared" si="11"/>
        <v>111</v>
      </c>
      <c r="V28" s="2">
        <f t="shared" si="12"/>
        <v>348</v>
      </c>
      <c r="W28" s="2">
        <v>82</v>
      </c>
      <c r="X28" s="2">
        <v>64</v>
      </c>
      <c r="Y28" s="2">
        <v>76</v>
      </c>
      <c r="Z28" s="2">
        <v>62</v>
      </c>
      <c r="AA28" s="2">
        <v>30</v>
      </c>
      <c r="AB28" s="2">
        <f t="shared" si="6"/>
        <v>92</v>
      </c>
      <c r="AC28" s="2">
        <f t="shared" si="7"/>
        <v>314</v>
      </c>
    </row>
    <row r="29" s="2" customFormat="1" ht="17.25" spans="1:29">
      <c r="A29" s="93" t="s">
        <v>131</v>
      </c>
      <c r="B29" s="2">
        <v>86</v>
      </c>
      <c r="C29" s="2">
        <v>61</v>
      </c>
      <c r="D29" s="2">
        <v>56</v>
      </c>
      <c r="E29" s="2">
        <v>83</v>
      </c>
      <c r="F29" s="2">
        <v>30</v>
      </c>
      <c r="G29" s="2">
        <f t="shared" si="8"/>
        <v>113</v>
      </c>
      <c r="H29" s="2">
        <f t="shared" si="9"/>
        <v>316</v>
      </c>
      <c r="I29" s="2">
        <v>86</v>
      </c>
      <c r="J29" s="2">
        <v>66</v>
      </c>
      <c r="K29" s="2">
        <v>82</v>
      </c>
      <c r="L29" s="2">
        <v>48</v>
      </c>
      <c r="M29" s="2">
        <v>19</v>
      </c>
      <c r="N29" s="2">
        <f t="shared" si="13"/>
        <v>67</v>
      </c>
      <c r="O29" s="2">
        <f t="shared" si="10"/>
        <v>301</v>
      </c>
      <c r="P29" s="2">
        <v>82</v>
      </c>
      <c r="Q29" s="2">
        <v>61</v>
      </c>
      <c r="R29" s="2">
        <v>86</v>
      </c>
      <c r="S29" s="2">
        <v>34</v>
      </c>
      <c r="T29" s="2">
        <v>36</v>
      </c>
      <c r="U29" s="2">
        <f t="shared" si="11"/>
        <v>70</v>
      </c>
      <c r="V29" s="2">
        <f t="shared" si="12"/>
        <v>299</v>
      </c>
      <c r="W29" s="2">
        <v>80</v>
      </c>
      <c r="X29" s="2">
        <v>69</v>
      </c>
      <c r="Y29" s="2">
        <v>64</v>
      </c>
      <c r="Z29" s="2">
        <v>66</v>
      </c>
      <c r="AA29" s="2">
        <v>37.5</v>
      </c>
      <c r="AB29" s="2">
        <f t="shared" si="6"/>
        <v>103.5</v>
      </c>
      <c r="AC29" s="2">
        <f t="shared" si="7"/>
        <v>316.5</v>
      </c>
    </row>
    <row r="30" s="2" customFormat="1" ht="17.25" spans="1:29">
      <c r="A30" s="92" t="s">
        <v>132</v>
      </c>
      <c r="B30" s="2">
        <v>84</v>
      </c>
      <c r="C30" s="2">
        <v>86</v>
      </c>
      <c r="D30" s="2">
        <v>62</v>
      </c>
      <c r="E30" s="2">
        <v>91</v>
      </c>
      <c r="F30" s="2">
        <v>25.5</v>
      </c>
      <c r="G30" s="2">
        <f t="shared" si="8"/>
        <v>116.5</v>
      </c>
      <c r="H30" s="2">
        <f t="shared" si="9"/>
        <v>348.5</v>
      </c>
      <c r="I30" s="2">
        <v>74</v>
      </c>
      <c r="J30" s="2">
        <v>72</v>
      </c>
      <c r="K30" s="2">
        <v>74</v>
      </c>
      <c r="L30" s="2">
        <v>44</v>
      </c>
      <c r="M30" s="2">
        <v>27</v>
      </c>
      <c r="N30" s="2">
        <f t="shared" si="13"/>
        <v>71</v>
      </c>
      <c r="O30" s="2">
        <f t="shared" si="10"/>
        <v>291</v>
      </c>
      <c r="P30" s="2">
        <v>76</v>
      </c>
      <c r="Q30" s="2">
        <v>75</v>
      </c>
      <c r="R30" s="2">
        <v>68</v>
      </c>
      <c r="S30" s="2">
        <v>69</v>
      </c>
      <c r="T30" s="2">
        <v>40.5</v>
      </c>
      <c r="U30" s="2">
        <f t="shared" si="11"/>
        <v>109.5</v>
      </c>
      <c r="V30" s="2">
        <f t="shared" si="12"/>
        <v>328.5</v>
      </c>
      <c r="W30" s="2">
        <v>76</v>
      </c>
      <c r="X30" s="2">
        <v>75</v>
      </c>
      <c r="Y30" s="2">
        <v>56</v>
      </c>
      <c r="Z30" s="2">
        <v>65</v>
      </c>
      <c r="AA30" s="2">
        <v>34.5</v>
      </c>
      <c r="AB30" s="2">
        <f t="shared" si="6"/>
        <v>99.5</v>
      </c>
      <c r="AC30" s="2">
        <f t="shared" si="7"/>
        <v>306.5</v>
      </c>
    </row>
    <row r="31" s="2" customFormat="1" ht="17.25" spans="1:29">
      <c r="A31" s="92" t="s">
        <v>133</v>
      </c>
      <c r="B31" s="2">
        <v>74</v>
      </c>
      <c r="C31" s="2">
        <v>89</v>
      </c>
      <c r="D31" s="2">
        <v>88</v>
      </c>
      <c r="E31" s="2">
        <v>102</v>
      </c>
      <c r="F31" s="2">
        <v>43.5</v>
      </c>
      <c r="G31" s="2">
        <f t="shared" si="8"/>
        <v>145.5</v>
      </c>
      <c r="H31" s="2">
        <f t="shared" si="9"/>
        <v>396.5</v>
      </c>
      <c r="I31" s="2">
        <v>82</v>
      </c>
      <c r="J31" s="2">
        <v>93</v>
      </c>
      <c r="K31" s="2">
        <v>86</v>
      </c>
      <c r="L31" s="2">
        <v>97</v>
      </c>
      <c r="M31" s="2">
        <v>23</v>
      </c>
      <c r="N31" s="2">
        <f t="shared" si="13"/>
        <v>120</v>
      </c>
      <c r="O31" s="2">
        <f t="shared" si="10"/>
        <v>381</v>
      </c>
      <c r="P31" s="16"/>
      <c r="Q31" s="16"/>
      <c r="R31" s="16"/>
      <c r="S31" s="16"/>
      <c r="T31" s="16"/>
      <c r="U31" s="16"/>
      <c r="V31" s="16" t="s">
        <v>14</v>
      </c>
      <c r="W31" s="2">
        <v>82</v>
      </c>
      <c r="X31" s="2">
        <v>88</v>
      </c>
      <c r="Y31" s="2">
        <v>72</v>
      </c>
      <c r="Z31" s="2">
        <v>77</v>
      </c>
      <c r="AA31" s="2">
        <v>37.5</v>
      </c>
      <c r="AB31" s="2">
        <f t="shared" si="6"/>
        <v>114.5</v>
      </c>
      <c r="AC31" s="2">
        <f t="shared" si="7"/>
        <v>356.5</v>
      </c>
    </row>
    <row r="32" s="2" customFormat="1" ht="17.25" spans="1:29">
      <c r="A32" s="92" t="s">
        <v>134</v>
      </c>
      <c r="B32" s="2">
        <v>94</v>
      </c>
      <c r="C32" s="2">
        <v>96</v>
      </c>
      <c r="D32" s="2">
        <v>70</v>
      </c>
      <c r="E32" s="2">
        <v>94</v>
      </c>
      <c r="F32" s="2">
        <v>33</v>
      </c>
      <c r="G32" s="2">
        <f t="shared" si="8"/>
        <v>127</v>
      </c>
      <c r="H32" s="2">
        <f t="shared" si="9"/>
        <v>387</v>
      </c>
      <c r="I32" s="2">
        <v>82</v>
      </c>
      <c r="J32" s="2">
        <v>85</v>
      </c>
      <c r="K32" s="2">
        <v>62</v>
      </c>
      <c r="L32" s="2">
        <v>67</v>
      </c>
      <c r="M32" s="2">
        <v>22</v>
      </c>
      <c r="N32" s="2">
        <f t="shared" si="13"/>
        <v>89</v>
      </c>
      <c r="O32" s="2">
        <f t="shared" si="10"/>
        <v>318</v>
      </c>
      <c r="P32" s="2">
        <v>98</v>
      </c>
      <c r="Q32" s="2">
        <v>85</v>
      </c>
      <c r="R32" s="2">
        <v>88</v>
      </c>
      <c r="S32" s="2">
        <v>85</v>
      </c>
      <c r="T32" s="2">
        <v>42</v>
      </c>
      <c r="U32" s="2">
        <f t="shared" si="11"/>
        <v>127</v>
      </c>
      <c r="V32" s="2">
        <f t="shared" si="12"/>
        <v>398</v>
      </c>
      <c r="W32" s="2">
        <v>94</v>
      </c>
      <c r="X32" s="2">
        <v>89</v>
      </c>
      <c r="Y32" s="2">
        <v>80</v>
      </c>
      <c r="Z32" s="2">
        <v>87</v>
      </c>
      <c r="AA32" s="2">
        <v>40.5</v>
      </c>
      <c r="AB32" s="2">
        <f t="shared" si="6"/>
        <v>127.5</v>
      </c>
      <c r="AC32" s="2">
        <f t="shared" si="7"/>
        <v>390.5</v>
      </c>
    </row>
    <row r="33" s="2" customFormat="1" ht="17.25" spans="1:29">
      <c r="A33" s="92" t="s">
        <v>135</v>
      </c>
      <c r="B33" s="2">
        <v>84</v>
      </c>
      <c r="C33" s="2">
        <v>89</v>
      </c>
      <c r="D33" s="2">
        <v>57</v>
      </c>
      <c r="E33" s="2">
        <v>86</v>
      </c>
      <c r="F33" s="2">
        <v>22.5</v>
      </c>
      <c r="G33" s="2">
        <f t="shared" si="8"/>
        <v>108.5</v>
      </c>
      <c r="H33" s="2">
        <f t="shared" si="9"/>
        <v>338.5</v>
      </c>
      <c r="I33" s="2">
        <v>70</v>
      </c>
      <c r="J33" s="2">
        <v>79</v>
      </c>
      <c r="K33" s="2">
        <v>64</v>
      </c>
      <c r="L33" s="2">
        <v>57</v>
      </c>
      <c r="M33" s="2">
        <v>18</v>
      </c>
      <c r="N33" s="2">
        <f t="shared" si="13"/>
        <v>75</v>
      </c>
      <c r="O33" s="2">
        <f t="shared" si="10"/>
        <v>288</v>
      </c>
      <c r="P33" s="2">
        <v>74</v>
      </c>
      <c r="Q33" s="2">
        <v>86</v>
      </c>
      <c r="R33" s="2">
        <v>68</v>
      </c>
      <c r="S33" s="2">
        <v>57</v>
      </c>
      <c r="T33" s="2">
        <v>28.5</v>
      </c>
      <c r="U33" s="2">
        <f t="shared" si="11"/>
        <v>85.5</v>
      </c>
      <c r="V33" s="2">
        <f t="shared" si="12"/>
        <v>313.5</v>
      </c>
      <c r="W33" s="2">
        <v>74</v>
      </c>
      <c r="X33" s="2">
        <v>75</v>
      </c>
      <c r="Y33" s="2">
        <v>52</v>
      </c>
      <c r="Z33" s="2">
        <v>70</v>
      </c>
      <c r="AA33" s="2">
        <v>22.5</v>
      </c>
      <c r="AB33" s="2">
        <f t="shared" si="6"/>
        <v>92.5</v>
      </c>
      <c r="AC33" s="2">
        <f t="shared" si="7"/>
        <v>293.5</v>
      </c>
    </row>
    <row r="34" s="2" customFormat="1" ht="17.25" spans="1:29">
      <c r="A34" s="92" t="s">
        <v>136</v>
      </c>
      <c r="B34" s="2">
        <v>92</v>
      </c>
      <c r="C34" s="2">
        <v>92</v>
      </c>
      <c r="D34" s="2">
        <v>63</v>
      </c>
      <c r="E34" s="2">
        <v>91</v>
      </c>
      <c r="F34" s="2">
        <v>33</v>
      </c>
      <c r="G34" s="2">
        <f t="shared" si="8"/>
        <v>124</v>
      </c>
      <c r="H34" s="2">
        <f t="shared" si="9"/>
        <v>371</v>
      </c>
      <c r="I34" s="2">
        <v>80</v>
      </c>
      <c r="J34" s="2">
        <v>88</v>
      </c>
      <c r="K34" s="2">
        <v>62</v>
      </c>
      <c r="L34" s="2">
        <v>65</v>
      </c>
      <c r="M34" s="2">
        <v>25</v>
      </c>
      <c r="N34" s="2">
        <f t="shared" ref="N34:N42" si="14">L34+M34</f>
        <v>90</v>
      </c>
      <c r="O34" s="2">
        <f t="shared" si="10"/>
        <v>320</v>
      </c>
      <c r="P34" s="2">
        <v>94</v>
      </c>
      <c r="Q34" s="2">
        <v>89</v>
      </c>
      <c r="R34" s="2">
        <v>86</v>
      </c>
      <c r="S34" s="2">
        <v>59</v>
      </c>
      <c r="T34" s="2">
        <v>42</v>
      </c>
      <c r="U34" s="2">
        <f t="shared" si="11"/>
        <v>101</v>
      </c>
      <c r="V34" s="2">
        <f t="shared" si="12"/>
        <v>370</v>
      </c>
      <c r="W34" s="2">
        <v>86</v>
      </c>
      <c r="X34" s="2">
        <v>86</v>
      </c>
      <c r="Y34" s="2">
        <v>74</v>
      </c>
      <c r="Z34" s="2">
        <v>77</v>
      </c>
      <c r="AA34" s="2">
        <v>34.5</v>
      </c>
      <c r="AB34" s="2">
        <f t="shared" si="6"/>
        <v>111.5</v>
      </c>
      <c r="AC34" s="2">
        <f t="shared" si="7"/>
        <v>357.5</v>
      </c>
    </row>
    <row r="35" s="2" customFormat="1" ht="17.25" spans="1:29">
      <c r="A35" s="92" t="s">
        <v>137</v>
      </c>
      <c r="B35" s="2">
        <v>68</v>
      </c>
      <c r="C35" s="2">
        <v>62</v>
      </c>
      <c r="D35" s="2">
        <v>51</v>
      </c>
      <c r="E35" s="2">
        <v>96</v>
      </c>
      <c r="F35" s="2">
        <v>31.5</v>
      </c>
      <c r="G35" s="2">
        <f t="shared" si="8"/>
        <v>127.5</v>
      </c>
      <c r="H35" s="2">
        <f t="shared" si="9"/>
        <v>308.5</v>
      </c>
      <c r="I35" s="2">
        <v>88</v>
      </c>
      <c r="J35" s="2">
        <v>65</v>
      </c>
      <c r="K35" s="2">
        <v>62</v>
      </c>
      <c r="L35" s="2">
        <v>65</v>
      </c>
      <c r="M35" s="2">
        <v>23</v>
      </c>
      <c r="N35" s="2">
        <f t="shared" si="14"/>
        <v>88</v>
      </c>
      <c r="O35" s="2">
        <f t="shared" si="10"/>
        <v>303</v>
      </c>
      <c r="P35" s="2">
        <v>74</v>
      </c>
      <c r="Q35" s="2">
        <v>58</v>
      </c>
      <c r="R35" s="2">
        <v>76</v>
      </c>
      <c r="S35" s="2">
        <v>48</v>
      </c>
      <c r="T35" s="2">
        <v>37.5</v>
      </c>
      <c r="U35" s="2">
        <f t="shared" si="11"/>
        <v>85.5</v>
      </c>
      <c r="V35" s="2">
        <f t="shared" si="12"/>
        <v>293.5</v>
      </c>
      <c r="W35" s="2">
        <v>84</v>
      </c>
      <c r="X35" s="2">
        <v>79</v>
      </c>
      <c r="Y35" s="2">
        <v>70</v>
      </c>
      <c r="Z35" s="2">
        <v>61</v>
      </c>
      <c r="AA35" s="2">
        <v>36</v>
      </c>
      <c r="AB35" s="2">
        <f t="shared" si="6"/>
        <v>97</v>
      </c>
      <c r="AC35" s="2">
        <f t="shared" si="7"/>
        <v>330</v>
      </c>
    </row>
    <row r="36" s="2" customFormat="1" ht="17.25" spans="1:29">
      <c r="A36" s="93" t="s">
        <v>138</v>
      </c>
      <c r="B36" s="2">
        <v>66</v>
      </c>
      <c r="C36" s="2">
        <v>69</v>
      </c>
      <c r="D36" s="2">
        <v>68</v>
      </c>
      <c r="E36" s="2">
        <v>92</v>
      </c>
      <c r="F36" s="2">
        <v>33</v>
      </c>
      <c r="G36" s="2">
        <f t="shared" si="8"/>
        <v>125</v>
      </c>
      <c r="H36" s="2">
        <f t="shared" si="9"/>
        <v>328</v>
      </c>
      <c r="I36" s="2">
        <v>58</v>
      </c>
      <c r="J36" s="2">
        <v>78</v>
      </c>
      <c r="K36" s="2">
        <v>56</v>
      </c>
      <c r="L36" s="2">
        <v>59</v>
      </c>
      <c r="M36" s="2">
        <v>27</v>
      </c>
      <c r="N36" s="2">
        <f t="shared" si="14"/>
        <v>86</v>
      </c>
      <c r="O36" s="2">
        <f t="shared" si="10"/>
        <v>278</v>
      </c>
      <c r="P36" s="2">
        <v>68</v>
      </c>
      <c r="Q36" s="2">
        <v>63</v>
      </c>
      <c r="R36" s="2">
        <v>76</v>
      </c>
      <c r="S36" s="2">
        <v>44</v>
      </c>
      <c r="T36" s="2">
        <v>37.5</v>
      </c>
      <c r="U36" s="2">
        <f t="shared" si="11"/>
        <v>81.5</v>
      </c>
      <c r="V36" s="2">
        <f t="shared" si="12"/>
        <v>288.5</v>
      </c>
      <c r="W36" s="2">
        <v>62</v>
      </c>
      <c r="X36" s="2">
        <v>75</v>
      </c>
      <c r="Y36" s="2">
        <v>72</v>
      </c>
      <c r="Z36" s="2">
        <v>68</v>
      </c>
      <c r="AA36" s="2">
        <v>40.5</v>
      </c>
      <c r="AB36" s="2">
        <f t="shared" si="6"/>
        <v>108.5</v>
      </c>
      <c r="AC36" s="2">
        <f t="shared" si="7"/>
        <v>317.5</v>
      </c>
    </row>
    <row r="37" s="2" customFormat="1" ht="17.25" spans="1:29">
      <c r="A37" s="93" t="s">
        <v>139</v>
      </c>
      <c r="B37" s="2">
        <v>76</v>
      </c>
      <c r="C37" s="2">
        <v>85</v>
      </c>
      <c r="D37" s="2">
        <v>78</v>
      </c>
      <c r="E37" s="2">
        <v>91</v>
      </c>
      <c r="F37" s="2">
        <v>34.5</v>
      </c>
      <c r="G37" s="2">
        <f t="shared" si="8"/>
        <v>125.5</v>
      </c>
      <c r="H37" s="2">
        <f t="shared" si="9"/>
        <v>364.5</v>
      </c>
      <c r="I37" s="2">
        <v>58</v>
      </c>
      <c r="J37" s="2">
        <v>87</v>
      </c>
      <c r="K37" s="2">
        <v>78</v>
      </c>
      <c r="L37" s="2">
        <v>80</v>
      </c>
      <c r="M37" s="2">
        <v>24</v>
      </c>
      <c r="N37" s="2">
        <f t="shared" si="14"/>
        <v>104</v>
      </c>
      <c r="O37" s="2">
        <f t="shared" si="10"/>
        <v>327</v>
      </c>
      <c r="P37" s="2">
        <v>72</v>
      </c>
      <c r="Q37" s="2">
        <v>75</v>
      </c>
      <c r="R37" s="2">
        <v>82</v>
      </c>
      <c r="S37" s="2">
        <v>80</v>
      </c>
      <c r="T37" s="2">
        <v>37.5</v>
      </c>
      <c r="U37" s="2">
        <f t="shared" si="11"/>
        <v>117.5</v>
      </c>
      <c r="V37" s="2">
        <f t="shared" si="12"/>
        <v>346.5</v>
      </c>
      <c r="W37" s="2">
        <v>80</v>
      </c>
      <c r="X37" s="2">
        <v>92</v>
      </c>
      <c r="Y37" s="2">
        <v>80</v>
      </c>
      <c r="Z37" s="2">
        <v>88</v>
      </c>
      <c r="AA37" s="2">
        <v>39</v>
      </c>
      <c r="AB37" s="2">
        <f t="shared" si="6"/>
        <v>127</v>
      </c>
      <c r="AC37" s="2">
        <f t="shared" si="7"/>
        <v>379</v>
      </c>
    </row>
    <row r="38" s="2" customFormat="1" ht="17.25" spans="1:29">
      <c r="A38" s="93" t="s">
        <v>140</v>
      </c>
      <c r="B38" s="2">
        <v>70</v>
      </c>
      <c r="C38" s="2">
        <v>76</v>
      </c>
      <c r="D38" s="2">
        <v>73</v>
      </c>
      <c r="E38" s="2">
        <v>91</v>
      </c>
      <c r="F38" s="2">
        <v>31.5</v>
      </c>
      <c r="G38" s="2">
        <f t="shared" si="8"/>
        <v>122.5</v>
      </c>
      <c r="H38" s="2">
        <f t="shared" si="9"/>
        <v>341.5</v>
      </c>
      <c r="I38" s="2">
        <v>76</v>
      </c>
      <c r="J38" s="2">
        <v>89</v>
      </c>
      <c r="K38" s="2">
        <v>76</v>
      </c>
      <c r="L38" s="2">
        <v>40</v>
      </c>
      <c r="M38" s="2">
        <v>26</v>
      </c>
      <c r="N38" s="2">
        <f t="shared" si="14"/>
        <v>66</v>
      </c>
      <c r="O38" s="2">
        <f t="shared" si="10"/>
        <v>307</v>
      </c>
      <c r="P38" s="2">
        <v>80</v>
      </c>
      <c r="Q38" s="2">
        <v>60</v>
      </c>
      <c r="R38" s="2">
        <v>80</v>
      </c>
      <c r="S38" s="2">
        <v>42</v>
      </c>
      <c r="T38" s="2">
        <v>37.5</v>
      </c>
      <c r="U38" s="2">
        <f t="shared" si="11"/>
        <v>79.5</v>
      </c>
      <c r="V38" s="2">
        <f t="shared" si="12"/>
        <v>299.5</v>
      </c>
      <c r="W38" s="2">
        <v>84</v>
      </c>
      <c r="X38" s="2">
        <v>77</v>
      </c>
      <c r="Y38" s="2">
        <v>62</v>
      </c>
      <c r="Z38" s="2">
        <v>82</v>
      </c>
      <c r="AA38" s="2">
        <v>36</v>
      </c>
      <c r="AB38" s="2">
        <f t="shared" si="6"/>
        <v>118</v>
      </c>
      <c r="AC38" s="2">
        <f t="shared" si="7"/>
        <v>341</v>
      </c>
    </row>
    <row r="39" s="2" customFormat="1" ht="17.25" spans="1:29">
      <c r="A39" s="92" t="s">
        <v>141</v>
      </c>
      <c r="B39" s="2">
        <v>94</v>
      </c>
      <c r="C39" s="2">
        <v>91</v>
      </c>
      <c r="D39" s="2">
        <v>85</v>
      </c>
      <c r="E39" s="2">
        <v>89</v>
      </c>
      <c r="F39" s="2">
        <v>36</v>
      </c>
      <c r="G39" s="2">
        <f t="shared" si="8"/>
        <v>125</v>
      </c>
      <c r="H39" s="2">
        <f t="shared" si="9"/>
        <v>395</v>
      </c>
      <c r="I39" s="2">
        <v>72</v>
      </c>
      <c r="J39" s="2">
        <v>87</v>
      </c>
      <c r="K39" s="2">
        <v>70</v>
      </c>
      <c r="L39" s="2">
        <v>82</v>
      </c>
      <c r="M39" s="2">
        <v>29</v>
      </c>
      <c r="N39" s="2">
        <f t="shared" si="14"/>
        <v>111</v>
      </c>
      <c r="O39" s="2">
        <f t="shared" si="10"/>
        <v>340</v>
      </c>
      <c r="P39" s="2">
        <v>90</v>
      </c>
      <c r="Q39" s="2">
        <v>80</v>
      </c>
      <c r="R39" s="2">
        <v>60</v>
      </c>
      <c r="S39" s="2">
        <v>70</v>
      </c>
      <c r="T39" s="2">
        <v>39</v>
      </c>
      <c r="U39" s="2">
        <f t="shared" si="11"/>
        <v>109</v>
      </c>
      <c r="V39" s="2">
        <f t="shared" si="12"/>
        <v>339</v>
      </c>
      <c r="W39" s="2">
        <v>86</v>
      </c>
      <c r="X39" s="2">
        <v>84</v>
      </c>
      <c r="Y39" s="2">
        <v>78</v>
      </c>
      <c r="Z39" s="2">
        <v>82</v>
      </c>
      <c r="AA39" s="2">
        <v>34.5</v>
      </c>
      <c r="AB39" s="2">
        <f t="shared" si="6"/>
        <v>116.5</v>
      </c>
      <c r="AC39" s="2">
        <f t="shared" si="7"/>
        <v>364.5</v>
      </c>
    </row>
    <row r="40" s="2" customFormat="1" ht="17.25" spans="1:29">
      <c r="A40" s="92" t="s">
        <v>142</v>
      </c>
      <c r="B40" s="2">
        <v>70</v>
      </c>
      <c r="C40" s="2">
        <v>72</v>
      </c>
      <c r="D40" s="2">
        <v>66</v>
      </c>
      <c r="E40" s="2">
        <v>77</v>
      </c>
      <c r="F40" s="2">
        <v>33</v>
      </c>
      <c r="G40" s="2">
        <f t="shared" si="8"/>
        <v>110</v>
      </c>
      <c r="H40" s="2">
        <f t="shared" si="9"/>
        <v>318</v>
      </c>
      <c r="I40" s="2">
        <v>66</v>
      </c>
      <c r="J40" s="2">
        <v>50</v>
      </c>
      <c r="K40" s="2">
        <v>52</v>
      </c>
      <c r="L40" s="2">
        <v>38</v>
      </c>
      <c r="M40" s="2">
        <v>18</v>
      </c>
      <c r="N40" s="2">
        <f t="shared" si="14"/>
        <v>56</v>
      </c>
      <c r="O40" s="2">
        <f t="shared" si="10"/>
        <v>224</v>
      </c>
      <c r="P40" s="16"/>
      <c r="Q40" s="16"/>
      <c r="R40" s="16"/>
      <c r="S40" s="16"/>
      <c r="T40" s="16"/>
      <c r="U40" s="16"/>
      <c r="V40" s="16" t="s">
        <v>14</v>
      </c>
      <c r="W40" s="2">
        <v>60</v>
      </c>
      <c r="X40" s="2">
        <v>74</v>
      </c>
      <c r="Y40" s="2">
        <v>48</v>
      </c>
      <c r="Z40" s="2">
        <v>84</v>
      </c>
      <c r="AA40" s="2">
        <v>27</v>
      </c>
      <c r="AB40" s="2">
        <f t="shared" si="6"/>
        <v>111</v>
      </c>
      <c r="AC40" s="2">
        <f t="shared" si="7"/>
        <v>293</v>
      </c>
    </row>
    <row r="41" s="2" customFormat="1" ht="17.25" spans="1:29">
      <c r="A41" s="92" t="s">
        <v>143</v>
      </c>
      <c r="B41" s="2">
        <v>68</v>
      </c>
      <c r="C41" s="2">
        <v>89</v>
      </c>
      <c r="D41" s="2">
        <v>43</v>
      </c>
      <c r="E41" s="2">
        <v>75</v>
      </c>
      <c r="F41" s="2">
        <v>27</v>
      </c>
      <c r="G41" s="2">
        <f t="shared" si="8"/>
        <v>102</v>
      </c>
      <c r="H41" s="2">
        <f t="shared" si="9"/>
        <v>302</v>
      </c>
      <c r="I41" s="2">
        <v>78</v>
      </c>
      <c r="J41" s="2">
        <v>83</v>
      </c>
      <c r="K41" s="2">
        <v>72</v>
      </c>
      <c r="L41" s="2">
        <v>56</v>
      </c>
      <c r="M41" s="2">
        <v>19</v>
      </c>
      <c r="N41" s="2">
        <f t="shared" si="14"/>
        <v>75</v>
      </c>
      <c r="O41" s="2">
        <f t="shared" si="10"/>
        <v>308</v>
      </c>
      <c r="P41" s="2">
        <v>78</v>
      </c>
      <c r="Q41" s="2">
        <v>75</v>
      </c>
      <c r="R41" s="2">
        <v>76</v>
      </c>
      <c r="S41" s="2">
        <v>81</v>
      </c>
      <c r="T41" s="2">
        <v>33</v>
      </c>
      <c r="U41" s="2">
        <f>T41+S41</f>
        <v>114</v>
      </c>
      <c r="V41" s="2">
        <f>U41+R41+Q41+P41</f>
        <v>343</v>
      </c>
      <c r="W41" s="2">
        <v>76</v>
      </c>
      <c r="X41" s="2">
        <v>94</v>
      </c>
      <c r="Y41" s="2">
        <v>70</v>
      </c>
      <c r="Z41" s="2">
        <v>66</v>
      </c>
      <c r="AA41" s="2">
        <v>37.5</v>
      </c>
      <c r="AB41" s="2">
        <f t="shared" si="6"/>
        <v>103.5</v>
      </c>
      <c r="AC41" s="2">
        <f t="shared" si="7"/>
        <v>343.5</v>
      </c>
    </row>
    <row r="42" s="2" customFormat="1" ht="17.25" spans="1:29">
      <c r="A42" s="92" t="s">
        <v>144</v>
      </c>
      <c r="B42" s="2">
        <v>66</v>
      </c>
      <c r="C42" s="2">
        <v>71</v>
      </c>
      <c r="D42" s="2">
        <v>71</v>
      </c>
      <c r="E42" s="2">
        <v>77</v>
      </c>
      <c r="F42" s="2">
        <v>28.5</v>
      </c>
      <c r="G42" s="2">
        <f t="shared" si="8"/>
        <v>105.5</v>
      </c>
      <c r="H42" s="2">
        <f t="shared" si="9"/>
        <v>313.5</v>
      </c>
      <c r="I42" s="2">
        <v>72</v>
      </c>
      <c r="J42" s="2">
        <v>72</v>
      </c>
      <c r="K42" s="2">
        <v>58</v>
      </c>
      <c r="L42" s="2">
        <v>73</v>
      </c>
      <c r="M42" s="2">
        <v>17</v>
      </c>
      <c r="N42" s="2">
        <f t="shared" si="14"/>
        <v>90</v>
      </c>
      <c r="O42" s="2">
        <f t="shared" si="10"/>
        <v>292</v>
      </c>
      <c r="P42" s="2">
        <v>68</v>
      </c>
      <c r="Q42" s="2">
        <v>83</v>
      </c>
      <c r="R42" s="2">
        <v>58</v>
      </c>
      <c r="S42" s="2">
        <v>69</v>
      </c>
      <c r="T42" s="2">
        <v>27</v>
      </c>
      <c r="U42" s="2">
        <f>T42+S42</f>
        <v>96</v>
      </c>
      <c r="V42" s="2">
        <f>U42+R42+Q42+P42</f>
        <v>305</v>
      </c>
      <c r="W42" s="2">
        <v>68</v>
      </c>
      <c r="X42" s="2">
        <v>82</v>
      </c>
      <c r="Y42" s="2">
        <v>54</v>
      </c>
      <c r="Z42" s="2">
        <v>81</v>
      </c>
      <c r="AA42" s="2">
        <v>30</v>
      </c>
      <c r="AB42" s="2">
        <f t="shared" si="6"/>
        <v>111</v>
      </c>
      <c r="AC42" s="2">
        <f t="shared" si="7"/>
        <v>315</v>
      </c>
    </row>
    <row r="43" spans="1:29">
      <c r="H43" s="2"/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B46"/>
  <sheetViews>
    <sheetView zoomScale="55" zoomScaleNormal="55" workbookViewId="0">
      <selection activeCell="B1" sqref="B1:AC1"/>
    </sheetView>
  </sheetViews>
  <sheetFormatPr defaultColWidth="9.64166666666667" defaultRowHeight="13.5"/>
  <cols>
    <col min="1" max="1" width="8" customWidth="1"/>
    <col min="2" max="3" width="5.125" customWidth="1"/>
    <col min="4" max="7" width="8.875" customWidth="1"/>
    <col min="8" max="8" width="6.375" customWidth="1"/>
    <col min="9" max="10" width="5.375" customWidth="1"/>
    <col min="11" max="14" width="9.375" customWidth="1"/>
    <col min="15" max="17" width="5.375" customWidth="1"/>
    <col min="18" max="21" width="9.375" customWidth="1"/>
    <col min="22" max="22" width="6.375" customWidth="1"/>
    <col min="23" max="24" width="5.375" customWidth="1"/>
    <col min="25" max="28" width="9.375" customWidth="1"/>
    <col min="29" max="29" width="6.375" customWidth="1"/>
    <col min="16348" max="16348" width="10.8333333333333" customWidth="1"/>
  </cols>
  <sheetData>
    <row r="1" ht="18.75" spans="1:49 16350:16356">
      <c r="A1" s="4"/>
      <c r="B1" s="16" t="s">
        <v>0</v>
      </c>
      <c r="C1" s="16"/>
      <c r="D1" s="16"/>
      <c r="E1" s="16"/>
      <c r="F1" s="16"/>
      <c r="G1" s="16"/>
      <c r="H1" s="16"/>
      <c r="I1" s="16" t="s">
        <v>1</v>
      </c>
      <c r="J1" s="16"/>
      <c r="K1" s="16"/>
      <c r="L1" s="16"/>
      <c r="M1" s="16"/>
      <c r="N1" s="16"/>
      <c r="O1" s="16"/>
      <c r="P1" s="16" t="s">
        <v>2</v>
      </c>
      <c r="Q1" s="16"/>
      <c r="R1" s="16"/>
      <c r="S1" s="16"/>
      <c r="T1" s="16"/>
      <c r="U1" s="16"/>
      <c r="V1" s="16"/>
      <c r="W1" s="16" t="s">
        <v>3</v>
      </c>
      <c r="X1" s="16"/>
      <c r="Y1" s="16"/>
      <c r="Z1" s="16"/>
      <c r="AA1" s="16"/>
      <c r="AB1" s="16"/>
      <c r="AC1" s="1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ht="18.75" spans="1:49 16350:16356">
      <c r="A2" s="49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17" t="s">
        <v>5</v>
      </c>
      <c r="J2" s="17" t="s">
        <v>6</v>
      </c>
      <c r="K2" s="17" t="s">
        <v>7</v>
      </c>
      <c r="L2" s="17" t="s">
        <v>8</v>
      </c>
      <c r="M2" s="78" t="s">
        <v>104</v>
      </c>
      <c r="N2" s="79" t="s">
        <v>10</v>
      </c>
      <c r="O2" s="79" t="s">
        <v>11</v>
      </c>
      <c r="P2" s="17" t="s">
        <v>5</v>
      </c>
      <c r="Q2" s="17" t="s">
        <v>6</v>
      </c>
      <c r="R2" s="17" t="s">
        <v>7</v>
      </c>
      <c r="S2" s="17" t="s">
        <v>8</v>
      </c>
      <c r="T2" s="78" t="s">
        <v>104</v>
      </c>
      <c r="U2" s="79" t="s">
        <v>10</v>
      </c>
      <c r="V2" s="79" t="s">
        <v>11</v>
      </c>
      <c r="W2" s="17" t="s">
        <v>5</v>
      </c>
      <c r="X2" s="17" t="s">
        <v>6</v>
      </c>
      <c r="Y2" s="17" t="s">
        <v>7</v>
      </c>
      <c r="Z2" s="17" t="s">
        <v>8</v>
      </c>
      <c r="AA2" s="78" t="s">
        <v>104</v>
      </c>
      <c r="AB2" s="79" t="s">
        <v>10</v>
      </c>
      <c r="AC2" s="79" t="s">
        <v>11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 16350:16356">
      <c r="A3" s="80" t="s">
        <v>145</v>
      </c>
      <c r="B3" s="3">
        <v>90</v>
      </c>
      <c r="C3" s="3">
        <v>100</v>
      </c>
      <c r="D3" s="3">
        <v>70</v>
      </c>
      <c r="E3" s="3">
        <v>90</v>
      </c>
      <c r="F3" s="3">
        <v>37.5</v>
      </c>
      <c r="G3" s="3">
        <f t="shared" ref="G3:G20" si="0">SUM(E3:F3)</f>
        <v>127.5</v>
      </c>
      <c r="H3" s="3">
        <f t="shared" ref="H3:H20" si="1">SUM(B3:F3)</f>
        <v>387.5</v>
      </c>
      <c r="I3" s="3">
        <v>90</v>
      </c>
      <c r="J3" s="3">
        <v>98</v>
      </c>
      <c r="K3" s="3">
        <v>90</v>
      </c>
      <c r="L3" s="3">
        <v>95</v>
      </c>
      <c r="M3" s="3">
        <v>29</v>
      </c>
      <c r="N3" s="37">
        <f>SUM(L3:M3)</f>
        <v>124</v>
      </c>
      <c r="O3" s="3">
        <f t="shared" ref="O3:O19" si="2">SUM(I3:M3)</f>
        <v>402</v>
      </c>
      <c r="P3" s="81">
        <v>90</v>
      </c>
      <c r="Q3" s="3">
        <v>96</v>
      </c>
      <c r="R3" s="3">
        <v>96</v>
      </c>
      <c r="S3" s="3">
        <v>92</v>
      </c>
      <c r="T3" s="3">
        <v>34.5</v>
      </c>
      <c r="U3" s="3">
        <f>SUM(S3:T3)</f>
        <v>126.5</v>
      </c>
      <c r="V3" s="3">
        <f>SUM(P3:T3)</f>
        <v>408.5</v>
      </c>
      <c r="W3" s="3">
        <v>88</v>
      </c>
      <c r="X3" s="3">
        <v>95</v>
      </c>
      <c r="Y3" s="3">
        <v>90</v>
      </c>
      <c r="Z3" s="3">
        <v>83</v>
      </c>
      <c r="AA3" s="3">
        <v>42</v>
      </c>
      <c r="AB3" s="3">
        <f>SUM(Z3:AA3)</f>
        <v>125</v>
      </c>
      <c r="AC3" s="3">
        <f>SUM(W3:AA3)</f>
        <v>398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XDV3" s="82"/>
    </row>
    <row r="4" spans="1:49 16350:16356">
      <c r="A4" s="80" t="s">
        <v>146</v>
      </c>
      <c r="B4" s="3">
        <v>94</v>
      </c>
      <c r="C4" s="3">
        <v>98</v>
      </c>
      <c r="D4" s="3">
        <v>61</v>
      </c>
      <c r="E4" s="3">
        <v>84</v>
      </c>
      <c r="F4" s="3">
        <v>28.5</v>
      </c>
      <c r="G4" s="3">
        <f t="shared" si="0"/>
        <v>112.5</v>
      </c>
      <c r="H4" s="3">
        <f t="shared" si="1"/>
        <v>365.5</v>
      </c>
      <c r="I4" s="3">
        <v>84</v>
      </c>
      <c r="J4" s="3">
        <v>89</v>
      </c>
      <c r="K4" s="3">
        <v>80</v>
      </c>
      <c r="L4" s="3">
        <v>81</v>
      </c>
      <c r="M4" s="3">
        <v>29</v>
      </c>
      <c r="N4" s="37">
        <f t="shared" ref="N4:N23" si="3">SUM(L4:M4)</f>
        <v>110</v>
      </c>
      <c r="O4" s="3">
        <f t="shared" si="2"/>
        <v>363</v>
      </c>
      <c r="P4" s="81">
        <v>92</v>
      </c>
      <c r="Q4" s="3">
        <v>89</v>
      </c>
      <c r="R4" s="3">
        <v>86</v>
      </c>
      <c r="S4" s="3">
        <v>87</v>
      </c>
      <c r="T4" s="3">
        <v>37.5</v>
      </c>
      <c r="U4" s="3">
        <f t="shared" ref="U4:U45" si="4">SUM(S4:T4)</f>
        <v>124.5</v>
      </c>
      <c r="V4" s="3">
        <f t="shared" ref="V4:V46" si="5">SUM(P4:T4)</f>
        <v>391.5</v>
      </c>
      <c r="W4" s="3">
        <v>90</v>
      </c>
      <c r="X4" s="3">
        <v>93</v>
      </c>
      <c r="Y4" s="3">
        <v>74</v>
      </c>
      <c r="Z4" s="3">
        <v>87</v>
      </c>
      <c r="AA4" s="3">
        <v>36</v>
      </c>
      <c r="AB4" s="3">
        <f t="shared" ref="AB4:AB46" si="6">SUM(Z4:AA4)</f>
        <v>123</v>
      </c>
      <c r="AC4" s="3">
        <f t="shared" ref="AC4:AC46" si="7">SUM(W4:AA4)</f>
        <v>380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 16350:16356">
      <c r="A5" s="80" t="s">
        <v>147</v>
      </c>
      <c r="B5" s="3">
        <v>68</v>
      </c>
      <c r="C5" s="3">
        <v>73</v>
      </c>
      <c r="D5" s="3">
        <v>62</v>
      </c>
      <c r="E5" s="3">
        <v>81</v>
      </c>
      <c r="F5" s="3">
        <v>28.5</v>
      </c>
      <c r="G5" s="3">
        <f t="shared" si="0"/>
        <v>109.5</v>
      </c>
      <c r="H5" s="3">
        <f t="shared" si="1"/>
        <v>312.5</v>
      </c>
      <c r="I5" s="3">
        <v>58</v>
      </c>
      <c r="J5" s="3">
        <v>83</v>
      </c>
      <c r="K5" s="3">
        <v>76</v>
      </c>
      <c r="L5" s="3">
        <v>50</v>
      </c>
      <c r="M5" s="3">
        <v>24</v>
      </c>
      <c r="N5" s="37">
        <f t="shared" si="3"/>
        <v>74</v>
      </c>
      <c r="O5" s="3">
        <f t="shared" si="2"/>
        <v>291</v>
      </c>
      <c r="P5" s="81">
        <v>76</v>
      </c>
      <c r="Q5" s="3">
        <v>68</v>
      </c>
      <c r="R5" s="3">
        <v>92</v>
      </c>
      <c r="S5" s="3">
        <v>64</v>
      </c>
      <c r="T5" s="3">
        <v>36</v>
      </c>
      <c r="U5" s="3">
        <f t="shared" si="4"/>
        <v>100</v>
      </c>
      <c r="V5" s="3">
        <f t="shared" si="5"/>
        <v>336</v>
      </c>
      <c r="W5" s="3">
        <v>70</v>
      </c>
      <c r="X5" s="3">
        <v>75</v>
      </c>
      <c r="Y5" s="3">
        <v>72</v>
      </c>
      <c r="Z5" s="3">
        <v>72</v>
      </c>
      <c r="AA5" s="3">
        <v>24</v>
      </c>
      <c r="AB5" s="3">
        <f t="shared" si="6"/>
        <v>96</v>
      </c>
      <c r="AC5" s="3">
        <f t="shared" si="7"/>
        <v>313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XEB5" s="83"/>
    </row>
    <row r="6" spans="1:49 16350:16356">
      <c r="A6" s="80" t="s">
        <v>148</v>
      </c>
      <c r="B6" s="3">
        <v>86</v>
      </c>
      <c r="C6" s="3">
        <v>89</v>
      </c>
      <c r="D6" s="3">
        <v>69</v>
      </c>
      <c r="E6" s="3">
        <v>92</v>
      </c>
      <c r="F6" s="3">
        <v>42</v>
      </c>
      <c r="G6" s="3">
        <f t="shared" si="0"/>
        <v>134</v>
      </c>
      <c r="H6" s="3">
        <f t="shared" si="1"/>
        <v>378</v>
      </c>
      <c r="I6" s="3">
        <v>78</v>
      </c>
      <c r="J6" s="3">
        <v>91</v>
      </c>
      <c r="K6" s="3">
        <v>76</v>
      </c>
      <c r="L6" s="3">
        <v>64</v>
      </c>
      <c r="M6" s="3">
        <v>28</v>
      </c>
      <c r="N6" s="37">
        <f t="shared" si="3"/>
        <v>92</v>
      </c>
      <c r="O6" s="3">
        <f t="shared" si="2"/>
        <v>337</v>
      </c>
      <c r="P6" s="81">
        <v>82</v>
      </c>
      <c r="Q6" s="3">
        <v>97</v>
      </c>
      <c r="R6" s="3">
        <v>84</v>
      </c>
      <c r="S6" s="3">
        <v>68</v>
      </c>
      <c r="T6" s="3">
        <v>39</v>
      </c>
      <c r="U6" s="3">
        <f t="shared" si="4"/>
        <v>107</v>
      </c>
      <c r="V6" s="3">
        <f t="shared" si="5"/>
        <v>370</v>
      </c>
      <c r="W6" s="37" t="s">
        <v>50</v>
      </c>
      <c r="X6" s="37" t="s">
        <v>50</v>
      </c>
      <c r="Y6" s="37" t="s">
        <v>50</v>
      </c>
      <c r="Z6" s="37" t="s">
        <v>50</v>
      </c>
      <c r="AA6" s="37" t="s">
        <v>50</v>
      </c>
      <c r="AB6" s="3">
        <f t="shared" si="6"/>
        <v>0</v>
      </c>
      <c r="AC6" s="3">
        <f t="shared" si="7"/>
        <v>0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 16350:16356">
      <c r="A7" s="80" t="s">
        <v>149</v>
      </c>
      <c r="B7" s="3">
        <v>88</v>
      </c>
      <c r="C7" s="3">
        <v>99</v>
      </c>
      <c r="D7" s="3">
        <v>78</v>
      </c>
      <c r="E7" s="3">
        <v>100</v>
      </c>
      <c r="F7" s="3">
        <v>34</v>
      </c>
      <c r="G7" s="3">
        <f t="shared" si="0"/>
        <v>134</v>
      </c>
      <c r="H7" s="3">
        <f t="shared" si="1"/>
        <v>399</v>
      </c>
      <c r="I7" s="3">
        <v>78</v>
      </c>
      <c r="J7" s="3">
        <v>94</v>
      </c>
      <c r="K7" s="3">
        <v>82</v>
      </c>
      <c r="L7" s="3">
        <v>94</v>
      </c>
      <c r="M7" s="3">
        <v>27</v>
      </c>
      <c r="N7" s="37">
        <f t="shared" si="3"/>
        <v>121</v>
      </c>
      <c r="O7" s="3">
        <f t="shared" si="2"/>
        <v>375</v>
      </c>
      <c r="P7" s="81">
        <v>92</v>
      </c>
      <c r="Q7" s="3">
        <v>94</v>
      </c>
      <c r="R7" s="3">
        <v>84</v>
      </c>
      <c r="S7" s="3">
        <v>83</v>
      </c>
      <c r="T7" s="3">
        <v>33</v>
      </c>
      <c r="U7" s="3">
        <f t="shared" si="4"/>
        <v>116</v>
      </c>
      <c r="V7" s="3">
        <f t="shared" si="5"/>
        <v>386</v>
      </c>
      <c r="W7" s="3">
        <v>88</v>
      </c>
      <c r="X7" s="3">
        <v>99</v>
      </c>
      <c r="Y7" s="3">
        <v>66</v>
      </c>
      <c r="Z7" s="3">
        <v>92</v>
      </c>
      <c r="AA7" s="3">
        <v>40.5</v>
      </c>
      <c r="AB7" s="3">
        <f t="shared" si="6"/>
        <v>132.5</v>
      </c>
      <c r="AC7" s="3">
        <f t="shared" si="7"/>
        <v>385.5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 16350:16356">
      <c r="A8" s="80" t="s">
        <v>150</v>
      </c>
      <c r="B8" s="3">
        <v>92</v>
      </c>
      <c r="C8" s="3">
        <v>95</v>
      </c>
      <c r="D8" s="3">
        <v>78</v>
      </c>
      <c r="E8" s="3">
        <v>100</v>
      </c>
      <c r="F8" s="3">
        <v>36</v>
      </c>
      <c r="G8" s="3">
        <f t="shared" si="0"/>
        <v>136</v>
      </c>
      <c r="H8" s="3">
        <f t="shared" si="1"/>
        <v>401</v>
      </c>
      <c r="I8" s="3">
        <v>78</v>
      </c>
      <c r="J8" s="3">
        <v>97</v>
      </c>
      <c r="K8" s="3">
        <v>82</v>
      </c>
      <c r="L8" s="3">
        <v>94</v>
      </c>
      <c r="M8" s="3">
        <v>26</v>
      </c>
      <c r="N8" s="37">
        <f t="shared" si="3"/>
        <v>120</v>
      </c>
      <c r="O8" s="3">
        <f t="shared" si="2"/>
        <v>377</v>
      </c>
      <c r="P8" s="81">
        <v>94</v>
      </c>
      <c r="Q8" s="3">
        <v>89</v>
      </c>
      <c r="R8" s="3">
        <v>84</v>
      </c>
      <c r="S8" s="3">
        <v>81</v>
      </c>
      <c r="T8" s="3">
        <v>36</v>
      </c>
      <c r="U8" s="3">
        <f t="shared" si="4"/>
        <v>117</v>
      </c>
      <c r="V8" s="3">
        <f t="shared" si="5"/>
        <v>384</v>
      </c>
      <c r="W8" s="3">
        <v>88</v>
      </c>
      <c r="X8" s="3">
        <v>99</v>
      </c>
      <c r="Y8" s="3">
        <v>66</v>
      </c>
      <c r="Z8" s="3">
        <v>92</v>
      </c>
      <c r="AA8" s="3">
        <v>39</v>
      </c>
      <c r="AB8" s="3">
        <f t="shared" si="6"/>
        <v>131</v>
      </c>
      <c r="AC8" s="3">
        <f t="shared" si="7"/>
        <v>384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 16350:16356">
      <c r="A9" s="80" t="s">
        <v>151</v>
      </c>
      <c r="B9" s="3">
        <v>84</v>
      </c>
      <c r="C9" s="3">
        <v>99</v>
      </c>
      <c r="D9" s="3">
        <v>83</v>
      </c>
      <c r="E9" s="3">
        <v>100</v>
      </c>
      <c r="F9" s="3">
        <v>37.5</v>
      </c>
      <c r="G9" s="3">
        <f t="shared" si="0"/>
        <v>137.5</v>
      </c>
      <c r="H9" s="3">
        <f t="shared" si="1"/>
        <v>403.5</v>
      </c>
      <c r="I9" s="3">
        <v>82</v>
      </c>
      <c r="J9" s="3">
        <v>97</v>
      </c>
      <c r="K9" s="3">
        <v>82</v>
      </c>
      <c r="L9" s="3">
        <v>85</v>
      </c>
      <c r="M9" s="3">
        <v>25</v>
      </c>
      <c r="N9" s="37">
        <f t="shared" si="3"/>
        <v>110</v>
      </c>
      <c r="O9" s="3">
        <f t="shared" si="2"/>
        <v>371</v>
      </c>
      <c r="P9" s="81">
        <v>86</v>
      </c>
      <c r="Q9" s="3">
        <v>95</v>
      </c>
      <c r="R9" s="3">
        <v>86</v>
      </c>
      <c r="S9" s="3">
        <v>77</v>
      </c>
      <c r="T9" s="3">
        <v>37</v>
      </c>
      <c r="U9" s="3">
        <f t="shared" si="4"/>
        <v>114</v>
      </c>
      <c r="V9" s="3">
        <f t="shared" si="5"/>
        <v>381</v>
      </c>
      <c r="W9" s="3">
        <v>92</v>
      </c>
      <c r="X9" s="3">
        <v>96</v>
      </c>
      <c r="Y9" s="3">
        <v>84</v>
      </c>
      <c r="Z9" s="3">
        <v>87</v>
      </c>
      <c r="AA9" s="3">
        <v>33</v>
      </c>
      <c r="AB9" s="3">
        <f t="shared" si="6"/>
        <v>120</v>
      </c>
      <c r="AC9" s="3">
        <f t="shared" si="7"/>
        <v>392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 16350:16356">
      <c r="A10" s="80" t="s">
        <v>152</v>
      </c>
      <c r="B10" s="3">
        <v>90</v>
      </c>
      <c r="C10" s="3">
        <v>67</v>
      </c>
      <c r="D10" s="3">
        <v>55</v>
      </c>
      <c r="E10" s="3">
        <v>94</v>
      </c>
      <c r="F10" s="3">
        <v>39</v>
      </c>
      <c r="G10" s="3">
        <f t="shared" si="0"/>
        <v>133</v>
      </c>
      <c r="H10" s="3">
        <f t="shared" si="1"/>
        <v>345</v>
      </c>
      <c r="I10" s="3">
        <v>76</v>
      </c>
      <c r="J10" s="3">
        <v>85</v>
      </c>
      <c r="K10" s="3">
        <v>80</v>
      </c>
      <c r="L10" s="3">
        <v>66</v>
      </c>
      <c r="M10" s="3">
        <v>28</v>
      </c>
      <c r="N10" s="37">
        <f t="shared" si="3"/>
        <v>94</v>
      </c>
      <c r="O10" s="3">
        <f t="shared" si="2"/>
        <v>335</v>
      </c>
      <c r="P10" s="81">
        <v>84</v>
      </c>
      <c r="Q10" s="3">
        <v>84</v>
      </c>
      <c r="R10" s="3">
        <v>84</v>
      </c>
      <c r="S10" s="3">
        <v>59</v>
      </c>
      <c r="T10" s="3">
        <v>37.5</v>
      </c>
      <c r="U10" s="3">
        <f t="shared" si="4"/>
        <v>96.5</v>
      </c>
      <c r="V10" s="3">
        <f t="shared" si="5"/>
        <v>348.5</v>
      </c>
      <c r="W10" s="37" t="s">
        <v>50</v>
      </c>
      <c r="X10" s="37" t="s">
        <v>50</v>
      </c>
      <c r="Y10" s="37" t="s">
        <v>50</v>
      </c>
      <c r="Z10" s="37" t="s">
        <v>50</v>
      </c>
      <c r="AA10" s="37" t="s">
        <v>50</v>
      </c>
      <c r="AB10" s="3">
        <f t="shared" si="6"/>
        <v>0</v>
      </c>
      <c r="AC10" s="3">
        <f t="shared" si="7"/>
        <v>0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 16350:16356">
      <c r="A11" s="80" t="s">
        <v>153</v>
      </c>
      <c r="B11" s="3">
        <v>68</v>
      </c>
      <c r="C11" s="3">
        <v>84</v>
      </c>
      <c r="D11" s="3">
        <v>72</v>
      </c>
      <c r="E11" s="3">
        <v>76</v>
      </c>
      <c r="F11" s="3">
        <v>31.5</v>
      </c>
      <c r="G11" s="3">
        <f t="shared" si="0"/>
        <v>107.5</v>
      </c>
      <c r="H11" s="3">
        <f t="shared" si="1"/>
        <v>331.5</v>
      </c>
      <c r="I11" s="3">
        <v>66</v>
      </c>
      <c r="J11" s="3">
        <v>79</v>
      </c>
      <c r="K11" s="3">
        <v>82</v>
      </c>
      <c r="L11" s="3">
        <v>74</v>
      </c>
      <c r="M11" s="3">
        <v>21</v>
      </c>
      <c r="N11" s="37">
        <f t="shared" si="3"/>
        <v>95</v>
      </c>
      <c r="O11" s="3">
        <f t="shared" si="2"/>
        <v>322</v>
      </c>
      <c r="P11" s="81">
        <v>86</v>
      </c>
      <c r="Q11" s="3">
        <v>65</v>
      </c>
      <c r="R11" s="3">
        <v>80</v>
      </c>
      <c r="S11" s="3">
        <v>67</v>
      </c>
      <c r="T11" s="3">
        <v>34.5</v>
      </c>
      <c r="U11" s="3">
        <f t="shared" si="4"/>
        <v>101.5</v>
      </c>
      <c r="V11" s="3">
        <f t="shared" si="5"/>
        <v>332.5</v>
      </c>
      <c r="W11" s="3">
        <v>72</v>
      </c>
      <c r="X11" s="3">
        <v>59</v>
      </c>
      <c r="Y11" s="3">
        <v>72</v>
      </c>
      <c r="Z11" s="3">
        <v>79</v>
      </c>
      <c r="AA11" s="3">
        <v>33</v>
      </c>
      <c r="AB11" s="3">
        <f t="shared" si="6"/>
        <v>112</v>
      </c>
      <c r="AC11" s="3">
        <f t="shared" si="7"/>
        <v>315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 16350:16356">
      <c r="A12" s="80" t="s">
        <v>154</v>
      </c>
      <c r="B12" s="3">
        <v>80</v>
      </c>
      <c r="C12" s="3">
        <v>84</v>
      </c>
      <c r="D12" s="3">
        <v>76</v>
      </c>
      <c r="E12" s="3">
        <v>73</v>
      </c>
      <c r="F12" s="3">
        <v>30</v>
      </c>
      <c r="G12" s="3">
        <f t="shared" si="0"/>
        <v>103</v>
      </c>
      <c r="H12" s="3">
        <f t="shared" si="1"/>
        <v>343</v>
      </c>
      <c r="I12" s="3">
        <v>68</v>
      </c>
      <c r="J12" s="3">
        <v>86</v>
      </c>
      <c r="K12" s="3">
        <v>78</v>
      </c>
      <c r="L12" s="3">
        <v>44</v>
      </c>
      <c r="M12" s="3">
        <v>23</v>
      </c>
      <c r="N12" s="37">
        <f t="shared" si="3"/>
        <v>67</v>
      </c>
      <c r="O12" s="3">
        <f t="shared" si="2"/>
        <v>299</v>
      </c>
      <c r="P12" s="81">
        <v>76</v>
      </c>
      <c r="Q12" s="3">
        <v>56</v>
      </c>
      <c r="R12" s="3">
        <v>82</v>
      </c>
      <c r="S12" s="3">
        <v>60</v>
      </c>
      <c r="T12" s="3">
        <v>25.5</v>
      </c>
      <c r="U12" s="3">
        <f t="shared" si="4"/>
        <v>85.5</v>
      </c>
      <c r="V12" s="3">
        <f t="shared" si="5"/>
        <v>299.5</v>
      </c>
      <c r="W12" s="3">
        <v>80</v>
      </c>
      <c r="X12" s="3">
        <v>71</v>
      </c>
      <c r="Y12" s="3">
        <v>60</v>
      </c>
      <c r="Z12" s="3">
        <v>72</v>
      </c>
      <c r="AA12" s="3">
        <v>30</v>
      </c>
      <c r="AB12" s="3">
        <f t="shared" si="6"/>
        <v>102</v>
      </c>
      <c r="AC12" s="3">
        <f t="shared" si="7"/>
        <v>313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 16350:16356">
      <c r="A13" s="80" t="s">
        <v>155</v>
      </c>
      <c r="B13" s="3">
        <v>60</v>
      </c>
      <c r="C13" s="3">
        <v>75</v>
      </c>
      <c r="D13" s="3">
        <v>58</v>
      </c>
      <c r="E13" s="3">
        <v>54</v>
      </c>
      <c r="F13" s="3">
        <v>31.5</v>
      </c>
      <c r="G13" s="3">
        <f t="shared" si="0"/>
        <v>85.5</v>
      </c>
      <c r="H13" s="3">
        <f t="shared" si="1"/>
        <v>278.5</v>
      </c>
      <c r="I13" s="3">
        <v>60</v>
      </c>
      <c r="J13" s="3">
        <v>68</v>
      </c>
      <c r="K13" s="3">
        <v>72</v>
      </c>
      <c r="L13" s="3">
        <v>50</v>
      </c>
      <c r="M13" s="3">
        <v>17</v>
      </c>
      <c r="N13" s="37">
        <f t="shared" si="3"/>
        <v>67</v>
      </c>
      <c r="O13" s="3">
        <f t="shared" si="2"/>
        <v>267</v>
      </c>
      <c r="P13" s="81">
        <v>80</v>
      </c>
      <c r="Q13" s="3">
        <v>71</v>
      </c>
      <c r="R13" s="3">
        <v>78</v>
      </c>
      <c r="S13" s="3">
        <v>50</v>
      </c>
      <c r="T13" s="3">
        <v>30</v>
      </c>
      <c r="U13" s="3">
        <f t="shared" si="4"/>
        <v>80</v>
      </c>
      <c r="V13" s="3">
        <f t="shared" si="5"/>
        <v>309</v>
      </c>
      <c r="W13" s="3">
        <v>72</v>
      </c>
      <c r="X13" s="3">
        <v>71</v>
      </c>
      <c r="Y13" s="3">
        <v>62</v>
      </c>
      <c r="Z13" s="3">
        <v>54</v>
      </c>
      <c r="AA13" s="3">
        <v>30</v>
      </c>
      <c r="AB13" s="3">
        <f t="shared" si="6"/>
        <v>84</v>
      </c>
      <c r="AC13" s="3">
        <f t="shared" si="7"/>
        <v>289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 16350:16356">
      <c r="A14" s="80" t="s">
        <v>156</v>
      </c>
      <c r="B14" s="3">
        <v>66</v>
      </c>
      <c r="C14" s="3">
        <v>86</v>
      </c>
      <c r="D14" s="3">
        <v>49</v>
      </c>
      <c r="E14" s="3">
        <v>80</v>
      </c>
      <c r="F14" s="3">
        <v>30</v>
      </c>
      <c r="G14" s="3">
        <f t="shared" si="0"/>
        <v>110</v>
      </c>
      <c r="H14" s="3">
        <f t="shared" si="1"/>
        <v>311</v>
      </c>
      <c r="I14" s="3">
        <v>58</v>
      </c>
      <c r="J14" s="3">
        <v>91</v>
      </c>
      <c r="K14" s="3">
        <v>56</v>
      </c>
      <c r="L14" s="3">
        <v>46</v>
      </c>
      <c r="M14" s="3">
        <v>16</v>
      </c>
      <c r="N14" s="37">
        <f t="shared" si="3"/>
        <v>62</v>
      </c>
      <c r="O14" s="3">
        <f t="shared" si="2"/>
        <v>267</v>
      </c>
      <c r="P14" s="81">
        <v>74</v>
      </c>
      <c r="Q14" s="3">
        <v>71</v>
      </c>
      <c r="R14" s="3">
        <v>80</v>
      </c>
      <c r="S14" s="3">
        <v>50</v>
      </c>
      <c r="T14" s="3">
        <v>30</v>
      </c>
      <c r="U14" s="3">
        <f t="shared" si="4"/>
        <v>80</v>
      </c>
      <c r="V14" s="3">
        <f t="shared" si="5"/>
        <v>305</v>
      </c>
      <c r="W14" s="3">
        <v>70</v>
      </c>
      <c r="X14" s="3">
        <v>69</v>
      </c>
      <c r="Y14" s="3">
        <v>62</v>
      </c>
      <c r="Z14" s="3">
        <v>62</v>
      </c>
      <c r="AA14" s="3">
        <v>34.5</v>
      </c>
      <c r="AB14" s="3">
        <f t="shared" si="6"/>
        <v>96.5</v>
      </c>
      <c r="AC14" s="3">
        <f t="shared" si="7"/>
        <v>297.5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 16350:16356">
      <c r="A15" s="80" t="s">
        <v>157</v>
      </c>
      <c r="B15" s="3">
        <v>74</v>
      </c>
      <c r="C15" s="3">
        <v>89</v>
      </c>
      <c r="D15" s="3">
        <v>58</v>
      </c>
      <c r="E15" s="3">
        <v>83</v>
      </c>
      <c r="F15" s="3">
        <v>31.5</v>
      </c>
      <c r="G15" s="3">
        <f t="shared" si="0"/>
        <v>114.5</v>
      </c>
      <c r="H15" s="3">
        <f t="shared" si="1"/>
        <v>335.5</v>
      </c>
      <c r="I15" s="3">
        <v>78</v>
      </c>
      <c r="J15" s="3">
        <v>81</v>
      </c>
      <c r="K15" s="3">
        <v>74</v>
      </c>
      <c r="L15" s="3">
        <v>57</v>
      </c>
      <c r="M15" s="3">
        <v>17</v>
      </c>
      <c r="N15" s="37">
        <f t="shared" si="3"/>
        <v>74</v>
      </c>
      <c r="O15" s="3">
        <f t="shared" si="2"/>
        <v>307</v>
      </c>
      <c r="P15" s="81">
        <v>84</v>
      </c>
      <c r="Q15" s="3">
        <v>85</v>
      </c>
      <c r="R15" s="3">
        <v>76</v>
      </c>
      <c r="S15" s="3">
        <v>59</v>
      </c>
      <c r="T15" s="3">
        <v>25.5</v>
      </c>
      <c r="U15" s="3">
        <f t="shared" si="4"/>
        <v>84.5</v>
      </c>
      <c r="V15" s="3">
        <f t="shared" si="5"/>
        <v>329.5</v>
      </c>
      <c r="W15" s="3">
        <v>90</v>
      </c>
      <c r="X15" s="3">
        <v>62</v>
      </c>
      <c r="Y15" s="3">
        <v>58</v>
      </c>
      <c r="Z15" s="3">
        <v>61</v>
      </c>
      <c r="AA15" s="3">
        <v>37.5</v>
      </c>
      <c r="AB15" s="3">
        <f t="shared" si="6"/>
        <v>98.5</v>
      </c>
      <c r="AC15" s="3">
        <f t="shared" si="7"/>
        <v>308.5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 16350:16356">
      <c r="A16" s="80" t="s">
        <v>158</v>
      </c>
      <c r="B16" s="3">
        <v>66</v>
      </c>
      <c r="C16" s="3">
        <v>92</v>
      </c>
      <c r="D16" s="3">
        <v>66</v>
      </c>
      <c r="E16" s="3">
        <v>88</v>
      </c>
      <c r="F16" s="3">
        <v>33</v>
      </c>
      <c r="G16" s="3">
        <f t="shared" si="0"/>
        <v>121</v>
      </c>
      <c r="H16" s="3">
        <f t="shared" si="1"/>
        <v>345</v>
      </c>
      <c r="I16" s="3">
        <v>68</v>
      </c>
      <c r="J16" s="3">
        <v>82</v>
      </c>
      <c r="K16" s="3">
        <v>72</v>
      </c>
      <c r="L16" s="3">
        <v>60</v>
      </c>
      <c r="M16" s="3">
        <v>21</v>
      </c>
      <c r="N16" s="37">
        <f t="shared" si="3"/>
        <v>81</v>
      </c>
      <c r="O16" s="3">
        <f t="shared" si="2"/>
        <v>303</v>
      </c>
      <c r="P16" s="81">
        <v>80</v>
      </c>
      <c r="Q16" s="3">
        <v>64</v>
      </c>
      <c r="R16" s="3">
        <v>84</v>
      </c>
      <c r="S16" s="3">
        <v>82</v>
      </c>
      <c r="T16" s="3">
        <v>25.5</v>
      </c>
      <c r="U16" s="3">
        <f t="shared" si="4"/>
        <v>107.5</v>
      </c>
      <c r="V16" s="3">
        <f t="shared" si="5"/>
        <v>335.5</v>
      </c>
      <c r="W16" s="3">
        <v>82</v>
      </c>
      <c r="X16" s="3">
        <v>79</v>
      </c>
      <c r="Y16" s="3">
        <v>70</v>
      </c>
      <c r="Z16" s="3">
        <v>84</v>
      </c>
      <c r="AA16" s="3">
        <v>33</v>
      </c>
      <c r="AB16" s="3">
        <f t="shared" si="6"/>
        <v>117</v>
      </c>
      <c r="AC16" s="3">
        <f t="shared" si="7"/>
        <v>348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>
      <c r="A17" s="80" t="s">
        <v>159</v>
      </c>
      <c r="B17" s="3">
        <v>64</v>
      </c>
      <c r="C17" s="3">
        <v>67</v>
      </c>
      <c r="D17" s="3">
        <v>60</v>
      </c>
      <c r="E17" s="3">
        <v>80</v>
      </c>
      <c r="F17" s="3">
        <v>30</v>
      </c>
      <c r="G17" s="3">
        <f t="shared" si="0"/>
        <v>110</v>
      </c>
      <c r="H17" s="3">
        <f t="shared" si="1"/>
        <v>301</v>
      </c>
      <c r="I17" s="3">
        <v>66</v>
      </c>
      <c r="J17" s="3">
        <v>74</v>
      </c>
      <c r="K17" s="3">
        <v>62</v>
      </c>
      <c r="L17" s="3">
        <v>76</v>
      </c>
      <c r="M17" s="3">
        <v>18</v>
      </c>
      <c r="N17" s="37">
        <f t="shared" si="3"/>
        <v>94</v>
      </c>
      <c r="O17" s="3">
        <f t="shared" si="2"/>
        <v>296</v>
      </c>
      <c r="P17" s="81">
        <v>70</v>
      </c>
      <c r="Q17" s="3">
        <v>70</v>
      </c>
      <c r="R17" s="3">
        <v>82</v>
      </c>
      <c r="S17" s="3">
        <v>70</v>
      </c>
      <c r="T17" s="3">
        <v>33</v>
      </c>
      <c r="U17" s="3">
        <f t="shared" si="4"/>
        <v>103</v>
      </c>
      <c r="V17" s="3">
        <f t="shared" si="5"/>
        <v>325</v>
      </c>
      <c r="W17" s="3">
        <v>58</v>
      </c>
      <c r="X17" s="3">
        <v>65</v>
      </c>
      <c r="Y17" s="3">
        <v>62</v>
      </c>
      <c r="Z17" s="3">
        <v>68</v>
      </c>
      <c r="AA17" s="3">
        <v>34.5</v>
      </c>
      <c r="AB17" s="3">
        <f t="shared" si="6"/>
        <v>102.5</v>
      </c>
      <c r="AC17" s="3">
        <f t="shared" si="7"/>
        <v>287.5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>
      <c r="A18" s="80" t="s">
        <v>160</v>
      </c>
      <c r="B18" s="3">
        <v>46</v>
      </c>
      <c r="C18" s="3">
        <v>64</v>
      </c>
      <c r="D18" s="3">
        <v>52</v>
      </c>
      <c r="E18" s="3">
        <v>64</v>
      </c>
      <c r="F18" s="3">
        <v>33</v>
      </c>
      <c r="G18" s="3">
        <f t="shared" si="0"/>
        <v>97</v>
      </c>
      <c r="H18" s="3">
        <f t="shared" si="1"/>
        <v>259</v>
      </c>
      <c r="I18" s="3">
        <v>66</v>
      </c>
      <c r="J18" s="3">
        <v>68</v>
      </c>
      <c r="K18" s="3">
        <v>68</v>
      </c>
      <c r="L18" s="3">
        <v>59</v>
      </c>
      <c r="M18" s="3">
        <v>20</v>
      </c>
      <c r="N18" s="37">
        <f t="shared" si="3"/>
        <v>79</v>
      </c>
      <c r="O18" s="3">
        <f t="shared" si="2"/>
        <v>281</v>
      </c>
      <c r="P18" s="81">
        <v>66</v>
      </c>
      <c r="Q18" s="3">
        <v>68</v>
      </c>
      <c r="R18" s="3">
        <v>80</v>
      </c>
      <c r="S18" s="3">
        <v>37</v>
      </c>
      <c r="T18" s="3">
        <v>39</v>
      </c>
      <c r="U18" s="3">
        <f t="shared" si="4"/>
        <v>76</v>
      </c>
      <c r="V18" s="3">
        <f t="shared" si="5"/>
        <v>290</v>
      </c>
      <c r="W18" s="3">
        <v>68</v>
      </c>
      <c r="X18" s="3">
        <v>77</v>
      </c>
      <c r="Y18" s="3">
        <v>62</v>
      </c>
      <c r="Z18" s="3">
        <v>72</v>
      </c>
      <c r="AA18" s="3">
        <v>34.5</v>
      </c>
      <c r="AB18" s="3">
        <f t="shared" si="6"/>
        <v>106.5</v>
      </c>
      <c r="AC18" s="3">
        <f t="shared" si="7"/>
        <v>313.5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>
      <c r="A19" s="80" t="s">
        <v>161</v>
      </c>
      <c r="B19" s="3">
        <v>74</v>
      </c>
      <c r="C19" s="3">
        <v>51</v>
      </c>
      <c r="D19" s="3">
        <v>46</v>
      </c>
      <c r="E19" s="3">
        <v>76</v>
      </c>
      <c r="F19" s="3">
        <v>27</v>
      </c>
      <c r="G19" s="3">
        <f t="shared" si="0"/>
        <v>103</v>
      </c>
      <c r="H19" s="3">
        <f t="shared" si="1"/>
        <v>274</v>
      </c>
      <c r="I19" s="3">
        <v>72</v>
      </c>
      <c r="J19" s="3">
        <v>75</v>
      </c>
      <c r="K19" s="3">
        <v>74</v>
      </c>
      <c r="L19" s="3">
        <v>45</v>
      </c>
      <c r="M19" s="3">
        <v>19</v>
      </c>
      <c r="N19" s="37">
        <f t="shared" si="3"/>
        <v>64</v>
      </c>
      <c r="O19" s="3">
        <f t="shared" si="2"/>
        <v>285</v>
      </c>
      <c r="P19" s="81">
        <v>70</v>
      </c>
      <c r="Q19" s="3">
        <v>52</v>
      </c>
      <c r="R19" s="3">
        <v>58</v>
      </c>
      <c r="S19" s="3">
        <v>56</v>
      </c>
      <c r="T19" s="3">
        <v>30</v>
      </c>
      <c r="U19" s="3">
        <f t="shared" si="4"/>
        <v>86</v>
      </c>
      <c r="V19" s="3">
        <f t="shared" si="5"/>
        <v>266</v>
      </c>
      <c r="W19" s="3">
        <v>68</v>
      </c>
      <c r="X19" s="3">
        <v>60</v>
      </c>
      <c r="Y19" s="3">
        <v>44</v>
      </c>
      <c r="Z19" s="3">
        <v>66</v>
      </c>
      <c r="AA19" s="3">
        <v>30</v>
      </c>
      <c r="AB19" s="3">
        <f t="shared" si="6"/>
        <v>96</v>
      </c>
      <c r="AC19" s="3">
        <f t="shared" si="7"/>
        <v>268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>
      <c r="A20" s="80" t="s">
        <v>162</v>
      </c>
      <c r="B20" s="3">
        <v>52</v>
      </c>
      <c r="C20" s="3">
        <v>48</v>
      </c>
      <c r="D20" s="3">
        <v>38</v>
      </c>
      <c r="E20" s="3">
        <v>46</v>
      </c>
      <c r="F20" s="3">
        <v>24</v>
      </c>
      <c r="G20" s="3">
        <f t="shared" si="0"/>
        <v>70</v>
      </c>
      <c r="H20" s="3">
        <f t="shared" si="1"/>
        <v>208</v>
      </c>
      <c r="I20" s="3"/>
      <c r="J20" s="3"/>
      <c r="K20" s="3"/>
      <c r="L20" s="3"/>
      <c r="M20" s="3"/>
      <c r="N20" s="37"/>
      <c r="O20" s="37" t="s">
        <v>14</v>
      </c>
      <c r="P20" s="81">
        <v>54</v>
      </c>
      <c r="Q20" s="3">
        <v>51</v>
      </c>
      <c r="R20" s="3">
        <v>52</v>
      </c>
      <c r="S20" s="3">
        <v>31</v>
      </c>
      <c r="T20" s="3">
        <v>31.5</v>
      </c>
      <c r="U20" s="3">
        <f t="shared" si="4"/>
        <v>62.5</v>
      </c>
      <c r="V20" s="3">
        <f t="shared" si="5"/>
        <v>219.5</v>
      </c>
      <c r="W20" s="37" t="s">
        <v>50</v>
      </c>
      <c r="X20" s="37" t="s">
        <v>50</v>
      </c>
      <c r="Y20" s="3"/>
      <c r="Z20" s="3"/>
      <c r="AA20" s="3"/>
      <c r="AB20" s="3">
        <f t="shared" si="6"/>
        <v>0</v>
      </c>
      <c r="AC20" s="3">
        <f t="shared" si="7"/>
        <v>0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>
      <c r="A21" s="80" t="s">
        <v>163</v>
      </c>
      <c r="B21" s="3">
        <v>76</v>
      </c>
      <c r="C21" s="3">
        <v>64</v>
      </c>
      <c r="D21" s="3">
        <v>60</v>
      </c>
      <c r="E21" s="3">
        <v>60</v>
      </c>
      <c r="F21" s="3">
        <v>30</v>
      </c>
      <c r="G21" s="3">
        <f t="shared" ref="G21:G45" si="8">SUM(E21:F21)</f>
        <v>90</v>
      </c>
      <c r="H21" s="3">
        <f t="shared" ref="H21:H45" si="9">SUM(B21:F21)</f>
        <v>290</v>
      </c>
      <c r="I21" s="3">
        <v>64</v>
      </c>
      <c r="J21" s="3">
        <v>70</v>
      </c>
      <c r="K21" s="3">
        <v>74</v>
      </c>
      <c r="L21" s="3">
        <v>42</v>
      </c>
      <c r="M21" s="3">
        <v>27</v>
      </c>
      <c r="N21" s="37">
        <f>SUM(L21:M21)</f>
        <v>69</v>
      </c>
      <c r="O21" s="3">
        <f t="shared" ref="O21:O45" si="10">SUM(I21:M21)</f>
        <v>277</v>
      </c>
      <c r="P21" s="81">
        <v>76</v>
      </c>
      <c r="Q21" s="3">
        <v>73</v>
      </c>
      <c r="R21" s="3">
        <v>66</v>
      </c>
      <c r="S21" s="3">
        <v>32</v>
      </c>
      <c r="T21" s="3">
        <v>34.5</v>
      </c>
      <c r="U21" s="3">
        <f t="shared" si="4"/>
        <v>66.5</v>
      </c>
      <c r="V21" s="3">
        <f t="shared" si="5"/>
        <v>281.5</v>
      </c>
      <c r="W21" s="37" t="s">
        <v>50</v>
      </c>
      <c r="X21" s="3"/>
      <c r="Y21" s="3"/>
      <c r="Z21" s="3"/>
      <c r="AA21" s="3"/>
      <c r="AB21" s="3">
        <f t="shared" si="6"/>
        <v>0</v>
      </c>
      <c r="AC21" s="3">
        <f t="shared" si="7"/>
        <v>0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>
      <c r="A22" s="80" t="s">
        <v>164</v>
      </c>
      <c r="B22" s="3">
        <v>84</v>
      </c>
      <c r="C22" s="3">
        <v>73</v>
      </c>
      <c r="D22" s="3">
        <v>61</v>
      </c>
      <c r="E22" s="3">
        <v>69</v>
      </c>
      <c r="F22" s="3">
        <v>28.5</v>
      </c>
      <c r="G22" s="3">
        <f t="shared" si="8"/>
        <v>97.5</v>
      </c>
      <c r="H22" s="3">
        <f t="shared" si="9"/>
        <v>315.5</v>
      </c>
      <c r="I22" s="3">
        <v>66</v>
      </c>
      <c r="J22" s="3">
        <v>83</v>
      </c>
      <c r="K22" s="3">
        <v>84</v>
      </c>
      <c r="L22" s="3">
        <v>40</v>
      </c>
      <c r="M22" s="3">
        <v>21</v>
      </c>
      <c r="N22" s="37">
        <f>SUM(L22:M22)</f>
        <v>61</v>
      </c>
      <c r="O22" s="3">
        <f t="shared" si="10"/>
        <v>294</v>
      </c>
      <c r="P22" s="81">
        <v>82</v>
      </c>
      <c r="Q22" s="3">
        <v>86</v>
      </c>
      <c r="R22" s="3">
        <v>82</v>
      </c>
      <c r="S22" s="3">
        <v>46</v>
      </c>
      <c r="T22" s="3">
        <v>30</v>
      </c>
      <c r="U22" s="3">
        <f t="shared" si="4"/>
        <v>76</v>
      </c>
      <c r="V22" s="3">
        <f t="shared" si="5"/>
        <v>326</v>
      </c>
      <c r="W22" s="3">
        <v>76</v>
      </c>
      <c r="X22" s="3">
        <v>83</v>
      </c>
      <c r="Y22" s="3">
        <v>76</v>
      </c>
      <c r="Z22" s="3">
        <v>74</v>
      </c>
      <c r="AA22" s="3">
        <v>37.5</v>
      </c>
      <c r="AB22" s="3">
        <f t="shared" si="6"/>
        <v>111.5</v>
      </c>
      <c r="AC22" s="3">
        <f t="shared" si="7"/>
        <v>346.5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>
      <c r="A23" s="80" t="s">
        <v>165</v>
      </c>
      <c r="B23" s="3">
        <v>84</v>
      </c>
      <c r="C23" s="3">
        <v>33</v>
      </c>
      <c r="D23" s="3">
        <v>66</v>
      </c>
      <c r="E23" s="3">
        <v>84</v>
      </c>
      <c r="F23" s="3">
        <v>24</v>
      </c>
      <c r="G23" s="3">
        <f t="shared" si="8"/>
        <v>108</v>
      </c>
      <c r="H23" s="3">
        <f t="shared" si="9"/>
        <v>291</v>
      </c>
      <c r="I23" s="3">
        <v>74</v>
      </c>
      <c r="J23" s="3">
        <v>81</v>
      </c>
      <c r="K23" s="3">
        <v>64</v>
      </c>
      <c r="L23" s="3">
        <v>66</v>
      </c>
      <c r="M23" s="3">
        <v>17</v>
      </c>
      <c r="N23" s="37">
        <f t="shared" ref="N23:N45" si="11">SUM(L23:M23)</f>
        <v>83</v>
      </c>
      <c r="O23" s="3">
        <f t="shared" si="10"/>
        <v>302</v>
      </c>
      <c r="P23" s="81">
        <v>78</v>
      </c>
      <c r="Q23" s="3">
        <v>54</v>
      </c>
      <c r="R23" s="3">
        <v>74</v>
      </c>
      <c r="S23" s="3">
        <v>51</v>
      </c>
      <c r="T23" s="3">
        <v>24</v>
      </c>
      <c r="U23" s="3">
        <f t="shared" si="4"/>
        <v>75</v>
      </c>
      <c r="V23" s="3">
        <f t="shared" si="5"/>
        <v>281</v>
      </c>
      <c r="W23" s="3">
        <v>72</v>
      </c>
      <c r="X23" s="3">
        <v>72</v>
      </c>
      <c r="Y23" s="3">
        <v>50</v>
      </c>
      <c r="Z23" s="3">
        <v>68</v>
      </c>
      <c r="AA23" s="3">
        <v>28.5</v>
      </c>
      <c r="AB23" s="3">
        <f t="shared" si="6"/>
        <v>96.5</v>
      </c>
      <c r="AC23" s="3">
        <f t="shared" si="7"/>
        <v>290.5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>
      <c r="A24" s="84" t="s">
        <v>166</v>
      </c>
      <c r="B24" s="3">
        <v>88</v>
      </c>
      <c r="C24" s="3">
        <v>86</v>
      </c>
      <c r="D24" s="3">
        <v>74</v>
      </c>
      <c r="E24" s="3">
        <v>95</v>
      </c>
      <c r="F24" s="3">
        <v>36</v>
      </c>
      <c r="G24" s="3">
        <f t="shared" si="8"/>
        <v>131</v>
      </c>
      <c r="H24" s="3">
        <f t="shared" si="9"/>
        <v>379</v>
      </c>
      <c r="I24" s="3"/>
      <c r="J24" s="3"/>
      <c r="K24" s="3"/>
      <c r="L24" s="3"/>
      <c r="M24" s="3"/>
      <c r="N24" s="37"/>
      <c r="O24" s="37" t="s">
        <v>14</v>
      </c>
      <c r="P24" s="81">
        <v>86</v>
      </c>
      <c r="Q24" s="3">
        <v>81</v>
      </c>
      <c r="R24" s="3">
        <v>88</v>
      </c>
      <c r="S24" s="3">
        <v>72</v>
      </c>
      <c r="T24" s="3">
        <v>37.5</v>
      </c>
      <c r="U24" s="3">
        <f t="shared" si="4"/>
        <v>109.5</v>
      </c>
      <c r="V24" s="3">
        <f t="shared" si="5"/>
        <v>364.5</v>
      </c>
      <c r="W24" s="3">
        <v>90</v>
      </c>
      <c r="X24" s="3">
        <v>96</v>
      </c>
      <c r="Y24" s="3">
        <v>88</v>
      </c>
      <c r="Z24" s="3">
        <v>98</v>
      </c>
      <c r="AA24" s="3">
        <v>37.5</v>
      </c>
      <c r="AB24" s="3">
        <f t="shared" si="6"/>
        <v>135.5</v>
      </c>
      <c r="AC24" s="3">
        <f t="shared" si="7"/>
        <v>409.5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>
      <c r="A25" s="84" t="s">
        <v>167</v>
      </c>
      <c r="B25" s="3">
        <v>86</v>
      </c>
      <c r="C25" s="3">
        <v>87</v>
      </c>
      <c r="D25" s="3">
        <v>63</v>
      </c>
      <c r="E25" s="3">
        <v>95</v>
      </c>
      <c r="F25" s="3">
        <v>34.5</v>
      </c>
      <c r="G25" s="3">
        <f t="shared" si="8"/>
        <v>129.5</v>
      </c>
      <c r="H25" s="3">
        <f t="shared" si="9"/>
        <v>365.5</v>
      </c>
      <c r="I25" s="3">
        <v>68</v>
      </c>
      <c r="J25" s="3">
        <v>91</v>
      </c>
      <c r="K25" s="3">
        <v>84</v>
      </c>
      <c r="L25" s="3">
        <v>79</v>
      </c>
      <c r="M25" s="3">
        <v>22</v>
      </c>
      <c r="N25" s="37">
        <f t="shared" si="11"/>
        <v>101</v>
      </c>
      <c r="O25" s="3">
        <f t="shared" si="10"/>
        <v>344</v>
      </c>
      <c r="P25" s="81">
        <v>84</v>
      </c>
      <c r="Q25" s="3">
        <v>84</v>
      </c>
      <c r="R25" s="3">
        <v>94</v>
      </c>
      <c r="S25" s="3">
        <v>84</v>
      </c>
      <c r="T25" s="3">
        <v>42</v>
      </c>
      <c r="U25" s="3">
        <f t="shared" si="4"/>
        <v>126</v>
      </c>
      <c r="V25" s="3">
        <f t="shared" si="5"/>
        <v>388</v>
      </c>
      <c r="W25" s="3">
        <v>78</v>
      </c>
      <c r="X25" s="3">
        <v>79</v>
      </c>
      <c r="Y25" s="3">
        <v>70</v>
      </c>
      <c r="Z25" s="3">
        <v>85</v>
      </c>
      <c r="AA25" s="3">
        <v>36</v>
      </c>
      <c r="AB25" s="3">
        <f t="shared" si="6"/>
        <v>121</v>
      </c>
      <c r="AC25" s="3">
        <f t="shared" si="7"/>
        <v>348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>
      <c r="A26" s="84" t="s">
        <v>168</v>
      </c>
      <c r="B26" s="37" t="s">
        <v>14</v>
      </c>
      <c r="C26" s="37" t="s">
        <v>14</v>
      </c>
      <c r="D26" s="37" t="s">
        <v>14</v>
      </c>
      <c r="E26" s="37" t="s">
        <v>14</v>
      </c>
      <c r="F26" s="37" t="s">
        <v>14</v>
      </c>
      <c r="G26" s="3">
        <f t="shared" si="8"/>
        <v>0</v>
      </c>
      <c r="H26" s="3">
        <f t="shared" si="9"/>
        <v>0</v>
      </c>
      <c r="I26" s="3"/>
      <c r="J26" s="3"/>
      <c r="K26" s="3"/>
      <c r="L26" s="3"/>
      <c r="M26" s="3"/>
      <c r="N26" s="37"/>
      <c r="O26" s="37" t="s">
        <v>14</v>
      </c>
      <c r="P26" s="81">
        <v>56</v>
      </c>
      <c r="Q26" s="3">
        <v>42</v>
      </c>
      <c r="R26" s="3">
        <v>72</v>
      </c>
      <c r="S26" s="3">
        <v>17</v>
      </c>
      <c r="T26" s="3">
        <v>22.5</v>
      </c>
      <c r="U26" s="3">
        <f t="shared" si="4"/>
        <v>39.5</v>
      </c>
      <c r="V26" s="3">
        <f t="shared" si="5"/>
        <v>209.5</v>
      </c>
      <c r="W26" s="3">
        <v>58</v>
      </c>
      <c r="X26" s="3">
        <v>17</v>
      </c>
      <c r="Y26" s="3">
        <v>66</v>
      </c>
      <c r="Z26" s="3">
        <v>28</v>
      </c>
      <c r="AA26" s="3">
        <v>28.5</v>
      </c>
      <c r="AB26" s="3">
        <f t="shared" si="6"/>
        <v>56.5</v>
      </c>
      <c r="AC26" s="3">
        <f t="shared" si="7"/>
        <v>197.5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>
      <c r="A27" s="84" t="s">
        <v>169</v>
      </c>
      <c r="B27" s="3">
        <v>80</v>
      </c>
      <c r="C27" s="3">
        <v>95</v>
      </c>
      <c r="D27" s="3">
        <v>81</v>
      </c>
      <c r="E27" s="3">
        <v>81</v>
      </c>
      <c r="F27" s="3">
        <v>39</v>
      </c>
      <c r="G27" s="3">
        <f t="shared" si="8"/>
        <v>120</v>
      </c>
      <c r="H27" s="3">
        <f t="shared" si="9"/>
        <v>376</v>
      </c>
      <c r="I27" s="3">
        <v>78</v>
      </c>
      <c r="J27" s="3">
        <v>73</v>
      </c>
      <c r="K27" s="3">
        <v>84</v>
      </c>
      <c r="L27" s="3">
        <v>63</v>
      </c>
      <c r="M27" s="3">
        <v>24</v>
      </c>
      <c r="N27" s="37">
        <f t="shared" si="11"/>
        <v>87</v>
      </c>
      <c r="O27" s="3">
        <f t="shared" si="10"/>
        <v>322</v>
      </c>
      <c r="P27" s="81">
        <v>70</v>
      </c>
      <c r="Q27" s="3">
        <v>70</v>
      </c>
      <c r="R27" s="3">
        <v>88</v>
      </c>
      <c r="S27" s="3">
        <v>57</v>
      </c>
      <c r="T27" s="3">
        <v>40.5</v>
      </c>
      <c r="U27" s="3">
        <f t="shared" si="4"/>
        <v>97.5</v>
      </c>
      <c r="V27" s="3">
        <f t="shared" si="5"/>
        <v>325.5</v>
      </c>
      <c r="W27" s="37" t="s">
        <v>50</v>
      </c>
      <c r="X27" s="3"/>
      <c r="Y27" s="3"/>
      <c r="Z27" s="3"/>
      <c r="AA27" s="3"/>
      <c r="AB27" s="3">
        <f t="shared" si="6"/>
        <v>0</v>
      </c>
      <c r="AC27" s="3">
        <f t="shared" si="7"/>
        <v>0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>
      <c r="A28" s="84" t="s">
        <v>170</v>
      </c>
      <c r="B28" s="3">
        <v>50</v>
      </c>
      <c r="C28" s="3">
        <v>53</v>
      </c>
      <c r="D28" s="3">
        <v>73</v>
      </c>
      <c r="E28" s="3">
        <v>95</v>
      </c>
      <c r="F28" s="3">
        <v>34.5</v>
      </c>
      <c r="G28" s="3">
        <f t="shared" si="8"/>
        <v>129.5</v>
      </c>
      <c r="H28" s="3">
        <f t="shared" si="9"/>
        <v>305.5</v>
      </c>
      <c r="I28" s="3">
        <v>58</v>
      </c>
      <c r="J28" s="3">
        <v>78</v>
      </c>
      <c r="K28" s="3">
        <v>80</v>
      </c>
      <c r="L28" s="3">
        <v>66</v>
      </c>
      <c r="M28" s="3">
        <v>18</v>
      </c>
      <c r="N28" s="37">
        <f t="shared" si="11"/>
        <v>84</v>
      </c>
      <c r="O28" s="3">
        <f t="shared" si="10"/>
        <v>300</v>
      </c>
      <c r="P28" s="81">
        <v>58</v>
      </c>
      <c r="Q28" s="3">
        <v>65</v>
      </c>
      <c r="R28" s="3">
        <v>90</v>
      </c>
      <c r="S28" s="3">
        <v>85</v>
      </c>
      <c r="T28" s="3">
        <v>34.5</v>
      </c>
      <c r="U28" s="3">
        <f t="shared" si="4"/>
        <v>119.5</v>
      </c>
      <c r="V28" s="3">
        <f t="shared" si="5"/>
        <v>332.5</v>
      </c>
      <c r="W28" s="3">
        <v>74</v>
      </c>
      <c r="X28" s="3">
        <v>66</v>
      </c>
      <c r="Y28" s="3">
        <v>78</v>
      </c>
      <c r="Z28" s="3">
        <v>74</v>
      </c>
      <c r="AA28" s="3">
        <v>37.5</v>
      </c>
      <c r="AB28" s="3">
        <f t="shared" si="6"/>
        <v>111.5</v>
      </c>
      <c r="AC28" s="3">
        <f t="shared" si="7"/>
        <v>329.5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>
      <c r="A29" s="85" t="s">
        <v>171</v>
      </c>
      <c r="B29" s="3">
        <v>80</v>
      </c>
      <c r="C29" s="3">
        <v>100</v>
      </c>
      <c r="D29" s="3">
        <v>70</v>
      </c>
      <c r="E29" s="3">
        <v>105</v>
      </c>
      <c r="F29" s="3">
        <v>33</v>
      </c>
      <c r="G29" s="3">
        <f t="shared" si="8"/>
        <v>138</v>
      </c>
      <c r="H29" s="3">
        <f t="shared" si="9"/>
        <v>388</v>
      </c>
      <c r="I29" s="3">
        <v>70</v>
      </c>
      <c r="J29" s="3">
        <v>97</v>
      </c>
      <c r="K29" s="3">
        <v>86</v>
      </c>
      <c r="L29" s="3">
        <v>89</v>
      </c>
      <c r="M29" s="3">
        <v>24</v>
      </c>
      <c r="N29" s="37">
        <f t="shared" si="11"/>
        <v>113</v>
      </c>
      <c r="O29" s="3">
        <f t="shared" si="10"/>
        <v>366</v>
      </c>
      <c r="P29" s="81">
        <v>86</v>
      </c>
      <c r="Q29" s="3">
        <v>100</v>
      </c>
      <c r="R29" s="3">
        <v>82</v>
      </c>
      <c r="S29" s="3">
        <v>95</v>
      </c>
      <c r="T29" s="3">
        <v>40.5</v>
      </c>
      <c r="U29" s="3">
        <f t="shared" si="4"/>
        <v>135.5</v>
      </c>
      <c r="V29" s="3">
        <f t="shared" si="5"/>
        <v>403.5</v>
      </c>
      <c r="W29" s="3">
        <v>88</v>
      </c>
      <c r="X29" s="3">
        <v>89</v>
      </c>
      <c r="Y29" s="3">
        <v>76</v>
      </c>
      <c r="Z29" s="3">
        <v>92</v>
      </c>
      <c r="AA29" s="3">
        <v>37.5</v>
      </c>
      <c r="AB29" s="3">
        <f t="shared" si="6"/>
        <v>129.5</v>
      </c>
      <c r="AC29" s="3">
        <f t="shared" si="7"/>
        <v>382.5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>
      <c r="A30" s="86" t="s">
        <v>172</v>
      </c>
      <c r="B30" s="37" t="s">
        <v>14</v>
      </c>
      <c r="C30" s="37" t="s">
        <v>14</v>
      </c>
      <c r="D30" s="37" t="s">
        <v>14</v>
      </c>
      <c r="E30" s="37" t="s">
        <v>14</v>
      </c>
      <c r="F30" s="37" t="s">
        <v>14</v>
      </c>
      <c r="G30" s="3">
        <f t="shared" si="8"/>
        <v>0</v>
      </c>
      <c r="H30" s="3">
        <f t="shared" si="9"/>
        <v>0</v>
      </c>
      <c r="I30" s="3"/>
      <c r="J30" s="3"/>
      <c r="K30" s="3"/>
      <c r="L30" s="3"/>
      <c r="M30" s="3"/>
      <c r="N30" s="37"/>
      <c r="O30" s="37" t="s">
        <v>14</v>
      </c>
      <c r="P30" s="81"/>
      <c r="Q30" s="3"/>
      <c r="R30" s="3"/>
      <c r="S30" s="3"/>
      <c r="T30" s="3"/>
      <c r="U30" s="3">
        <f t="shared" si="4"/>
        <v>0</v>
      </c>
      <c r="V30" s="3">
        <f t="shared" si="5"/>
        <v>0</v>
      </c>
      <c r="W30" s="37" t="s">
        <v>50</v>
      </c>
      <c r="X30" s="3"/>
      <c r="Y30" s="3"/>
      <c r="Z30" s="3"/>
      <c r="AA30" s="3"/>
      <c r="AB30" s="3">
        <f t="shared" si="6"/>
        <v>0</v>
      </c>
      <c r="AC30" s="3">
        <f t="shared" si="7"/>
        <v>0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>
      <c r="A31" s="87" t="s">
        <v>173</v>
      </c>
      <c r="B31" s="3">
        <v>78</v>
      </c>
      <c r="C31" s="3">
        <v>42</v>
      </c>
      <c r="D31" s="3">
        <v>67</v>
      </c>
      <c r="E31" s="3">
        <v>71</v>
      </c>
      <c r="F31" s="3">
        <v>30</v>
      </c>
      <c r="G31" s="3">
        <f t="shared" si="8"/>
        <v>101</v>
      </c>
      <c r="H31" s="3">
        <f t="shared" si="9"/>
        <v>288</v>
      </c>
      <c r="I31" s="3"/>
      <c r="J31" s="3"/>
      <c r="K31" s="3"/>
      <c r="L31" s="3"/>
      <c r="M31" s="3"/>
      <c r="N31" s="37"/>
      <c r="O31" s="37" t="s">
        <v>14</v>
      </c>
      <c r="P31" s="81">
        <v>90</v>
      </c>
      <c r="Q31" s="3">
        <v>89</v>
      </c>
      <c r="R31" s="3">
        <v>90</v>
      </c>
      <c r="S31" s="3">
        <v>55</v>
      </c>
      <c r="T31" s="3">
        <v>31.5</v>
      </c>
      <c r="U31" s="3">
        <f t="shared" si="4"/>
        <v>86.5</v>
      </c>
      <c r="V31" s="3">
        <f t="shared" si="5"/>
        <v>355.5</v>
      </c>
      <c r="W31" s="37" t="s">
        <v>50</v>
      </c>
      <c r="X31" s="3"/>
      <c r="Y31" s="3"/>
      <c r="Z31" s="3"/>
      <c r="AA31" s="3"/>
      <c r="AB31" s="3">
        <f t="shared" si="6"/>
        <v>0</v>
      </c>
      <c r="AC31" s="3">
        <f t="shared" si="7"/>
        <v>0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>
      <c r="A32" s="86" t="s">
        <v>174</v>
      </c>
      <c r="B32" s="3">
        <v>64</v>
      </c>
      <c r="C32" s="3">
        <v>89</v>
      </c>
      <c r="D32" s="3">
        <v>51</v>
      </c>
      <c r="E32" s="3">
        <v>77</v>
      </c>
      <c r="F32" s="3">
        <v>22.5</v>
      </c>
      <c r="G32" s="3">
        <f t="shared" si="8"/>
        <v>99.5</v>
      </c>
      <c r="H32" s="3">
        <f t="shared" si="9"/>
        <v>303.5</v>
      </c>
      <c r="I32" s="3"/>
      <c r="J32" s="3"/>
      <c r="K32" s="3"/>
      <c r="L32" s="3"/>
      <c r="M32" s="3"/>
      <c r="N32" s="37"/>
      <c r="O32" s="37" t="s">
        <v>14</v>
      </c>
      <c r="P32" s="81">
        <v>88</v>
      </c>
      <c r="Q32" s="3">
        <v>86</v>
      </c>
      <c r="R32" s="3">
        <v>82</v>
      </c>
      <c r="S32" s="3">
        <v>55</v>
      </c>
      <c r="T32" s="3">
        <v>31.5</v>
      </c>
      <c r="U32" s="3">
        <f t="shared" si="4"/>
        <v>86.5</v>
      </c>
      <c r="V32" s="3">
        <f t="shared" si="5"/>
        <v>342.5</v>
      </c>
      <c r="W32" s="37" t="s">
        <v>50</v>
      </c>
      <c r="X32" s="3"/>
      <c r="Y32" s="3"/>
      <c r="Z32" s="3"/>
      <c r="AA32" s="3"/>
      <c r="AB32" s="3">
        <f t="shared" si="6"/>
        <v>0</v>
      </c>
      <c r="AC32" s="3">
        <f t="shared" si="7"/>
        <v>0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>
      <c r="A33" s="87" t="s">
        <v>175</v>
      </c>
      <c r="B33" s="3">
        <v>94</v>
      </c>
      <c r="C33" s="3">
        <v>79</v>
      </c>
      <c r="D33" s="3">
        <v>69</v>
      </c>
      <c r="E33" s="3">
        <v>89</v>
      </c>
      <c r="F33" s="3">
        <v>28.5</v>
      </c>
      <c r="G33" s="3">
        <f t="shared" si="8"/>
        <v>117.5</v>
      </c>
      <c r="H33" s="3">
        <f t="shared" si="9"/>
        <v>359.5</v>
      </c>
      <c r="I33" s="3">
        <v>82</v>
      </c>
      <c r="J33" s="3">
        <v>79</v>
      </c>
      <c r="K33" s="3">
        <v>86</v>
      </c>
      <c r="L33" s="3">
        <v>61</v>
      </c>
      <c r="M33" s="3">
        <v>22</v>
      </c>
      <c r="N33" s="37">
        <f t="shared" si="11"/>
        <v>83</v>
      </c>
      <c r="O33" s="3">
        <f t="shared" si="10"/>
        <v>330</v>
      </c>
      <c r="P33" s="81">
        <v>82</v>
      </c>
      <c r="Q33" s="3">
        <v>83</v>
      </c>
      <c r="R33" s="3">
        <v>86</v>
      </c>
      <c r="S33" s="3">
        <v>72</v>
      </c>
      <c r="T33" s="3">
        <v>39</v>
      </c>
      <c r="U33" s="3">
        <f t="shared" si="4"/>
        <v>111</v>
      </c>
      <c r="V33" s="3">
        <f t="shared" si="5"/>
        <v>362</v>
      </c>
      <c r="W33" s="3">
        <v>90</v>
      </c>
      <c r="X33" s="3">
        <v>86</v>
      </c>
      <c r="Y33" s="3">
        <v>76</v>
      </c>
      <c r="Z33" s="3">
        <v>73</v>
      </c>
      <c r="AA33" s="3">
        <v>40.5</v>
      </c>
      <c r="AB33" s="3">
        <f t="shared" si="6"/>
        <v>113.5</v>
      </c>
      <c r="AC33" s="3">
        <f t="shared" si="7"/>
        <v>365.5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>
      <c r="A34" s="86" t="s">
        <v>176</v>
      </c>
      <c r="B34" s="3">
        <v>72</v>
      </c>
      <c r="C34" s="3">
        <v>74</v>
      </c>
      <c r="D34" s="3">
        <v>70</v>
      </c>
      <c r="E34" s="3">
        <v>86</v>
      </c>
      <c r="F34" s="3">
        <v>33</v>
      </c>
      <c r="G34" s="3">
        <f t="shared" si="8"/>
        <v>119</v>
      </c>
      <c r="H34" s="3">
        <f t="shared" si="9"/>
        <v>335</v>
      </c>
      <c r="I34" s="3">
        <v>64</v>
      </c>
      <c r="J34" s="3">
        <v>83</v>
      </c>
      <c r="K34" s="3">
        <v>74</v>
      </c>
      <c r="L34" s="3">
        <v>73</v>
      </c>
      <c r="M34" s="3">
        <v>25</v>
      </c>
      <c r="N34" s="37">
        <f t="shared" si="11"/>
        <v>98</v>
      </c>
      <c r="O34" s="3">
        <f t="shared" si="10"/>
        <v>319</v>
      </c>
      <c r="P34" s="81">
        <v>74</v>
      </c>
      <c r="Q34" s="3">
        <v>86</v>
      </c>
      <c r="R34" s="3">
        <v>86</v>
      </c>
      <c r="S34" s="3">
        <v>50</v>
      </c>
      <c r="T34" s="3">
        <v>33</v>
      </c>
      <c r="U34" s="3">
        <f t="shared" si="4"/>
        <v>83</v>
      </c>
      <c r="V34" s="3">
        <f t="shared" si="5"/>
        <v>329</v>
      </c>
      <c r="W34" s="3">
        <v>76</v>
      </c>
      <c r="X34" s="3">
        <v>62</v>
      </c>
      <c r="Y34" s="3">
        <v>74</v>
      </c>
      <c r="Z34" s="3">
        <v>66</v>
      </c>
      <c r="AA34" s="3">
        <v>37.5</v>
      </c>
      <c r="AB34" s="3">
        <f t="shared" si="6"/>
        <v>103.5</v>
      </c>
      <c r="AC34" s="3">
        <f t="shared" si="7"/>
        <v>315.5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>
      <c r="A35" s="88" t="s">
        <v>177</v>
      </c>
      <c r="B35" s="3">
        <v>66</v>
      </c>
      <c r="C35" s="3">
        <v>92</v>
      </c>
      <c r="D35" s="3">
        <v>57</v>
      </c>
      <c r="E35" s="3">
        <v>88</v>
      </c>
      <c r="F35" s="3">
        <v>22.5</v>
      </c>
      <c r="G35" s="3">
        <f t="shared" si="8"/>
        <v>110.5</v>
      </c>
      <c r="H35" s="3">
        <f t="shared" si="9"/>
        <v>325.5</v>
      </c>
      <c r="I35" s="3">
        <v>70</v>
      </c>
      <c r="J35" s="3">
        <v>87</v>
      </c>
      <c r="K35" s="3">
        <v>70</v>
      </c>
      <c r="L35" s="3">
        <v>73</v>
      </c>
      <c r="M35" s="3">
        <v>22</v>
      </c>
      <c r="N35" s="37">
        <f t="shared" si="11"/>
        <v>95</v>
      </c>
      <c r="O35" s="3">
        <f t="shared" si="10"/>
        <v>322</v>
      </c>
      <c r="P35" s="3">
        <v>72</v>
      </c>
      <c r="Q35" s="3">
        <v>85</v>
      </c>
      <c r="R35" s="3">
        <v>86</v>
      </c>
      <c r="S35" s="3">
        <v>59</v>
      </c>
      <c r="T35" s="3">
        <v>33</v>
      </c>
      <c r="U35" s="3">
        <f t="shared" si="4"/>
        <v>92</v>
      </c>
      <c r="V35" s="3">
        <f t="shared" si="5"/>
        <v>335</v>
      </c>
      <c r="W35" s="3">
        <v>74</v>
      </c>
      <c r="X35" s="3">
        <v>85</v>
      </c>
      <c r="Y35" s="3">
        <v>70</v>
      </c>
      <c r="Z35" s="3">
        <v>66</v>
      </c>
      <c r="AA35" s="3">
        <v>28.5</v>
      </c>
      <c r="AB35" s="3">
        <f t="shared" si="6"/>
        <v>94.5</v>
      </c>
      <c r="AC35" s="3">
        <f t="shared" si="7"/>
        <v>323.5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9">
      <c r="A36" s="88" t="s">
        <v>178</v>
      </c>
      <c r="B36" s="3">
        <v>84</v>
      </c>
      <c r="C36" s="3">
        <v>56</v>
      </c>
      <c r="D36" s="3">
        <v>66</v>
      </c>
      <c r="E36" s="3">
        <v>72</v>
      </c>
      <c r="F36" s="3">
        <v>22.5</v>
      </c>
      <c r="G36" s="3">
        <f t="shared" si="8"/>
        <v>94.5</v>
      </c>
      <c r="H36" s="3">
        <f t="shared" si="9"/>
        <v>300.5</v>
      </c>
      <c r="I36" s="3">
        <v>74</v>
      </c>
      <c r="J36" s="3">
        <v>81</v>
      </c>
      <c r="K36" s="3">
        <v>64</v>
      </c>
      <c r="L36" s="3">
        <v>73</v>
      </c>
      <c r="M36" s="3">
        <v>22</v>
      </c>
      <c r="N36" s="37">
        <f t="shared" si="11"/>
        <v>95</v>
      </c>
      <c r="O36" s="3">
        <f t="shared" si="10"/>
        <v>314</v>
      </c>
      <c r="P36" s="3">
        <v>86</v>
      </c>
      <c r="Q36" s="3">
        <v>89</v>
      </c>
      <c r="R36" s="3">
        <v>80</v>
      </c>
      <c r="S36" s="3">
        <v>50</v>
      </c>
      <c r="T36" s="3">
        <v>37.5</v>
      </c>
      <c r="U36" s="3">
        <f t="shared" si="4"/>
        <v>87.5</v>
      </c>
      <c r="V36" s="3">
        <f t="shared" si="5"/>
        <v>342.5</v>
      </c>
      <c r="W36" s="3">
        <v>82</v>
      </c>
      <c r="X36" s="3">
        <v>58</v>
      </c>
      <c r="Y36" s="3">
        <v>66</v>
      </c>
      <c r="Z36" s="3">
        <v>61</v>
      </c>
      <c r="AA36" s="3">
        <v>36</v>
      </c>
      <c r="AB36" s="3">
        <f t="shared" si="6"/>
        <v>97</v>
      </c>
      <c r="AC36" s="3">
        <f t="shared" si="7"/>
        <v>303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ht="14.25" spans="1:49">
      <c r="A37" s="89" t="s">
        <v>179</v>
      </c>
      <c r="B37" s="3">
        <v>64</v>
      </c>
      <c r="C37" s="3">
        <v>93</v>
      </c>
      <c r="D37" s="3">
        <v>55</v>
      </c>
      <c r="E37" s="3">
        <v>94</v>
      </c>
      <c r="F37" s="3">
        <v>27</v>
      </c>
      <c r="G37" s="3">
        <f t="shared" si="8"/>
        <v>121</v>
      </c>
      <c r="H37" s="3">
        <f t="shared" si="9"/>
        <v>333</v>
      </c>
      <c r="I37" s="3">
        <v>54</v>
      </c>
      <c r="J37" s="3">
        <v>90</v>
      </c>
      <c r="K37" s="3">
        <v>76</v>
      </c>
      <c r="L37" s="3">
        <v>73</v>
      </c>
      <c r="M37" s="3">
        <v>25</v>
      </c>
      <c r="N37" s="37">
        <f t="shared" si="11"/>
        <v>98</v>
      </c>
      <c r="O37" s="3">
        <f t="shared" si="10"/>
        <v>318</v>
      </c>
      <c r="P37" s="3">
        <v>76</v>
      </c>
      <c r="Q37" s="3">
        <v>89</v>
      </c>
      <c r="R37" s="3">
        <v>76</v>
      </c>
      <c r="S37" s="3">
        <v>33</v>
      </c>
      <c r="T37" s="3">
        <v>36</v>
      </c>
      <c r="U37" s="3">
        <f t="shared" si="4"/>
        <v>69</v>
      </c>
      <c r="V37" s="3">
        <f t="shared" si="5"/>
        <v>310</v>
      </c>
      <c r="W37" s="37" t="s">
        <v>50</v>
      </c>
      <c r="X37" s="3"/>
      <c r="Y37" s="3"/>
      <c r="Z37" s="3"/>
      <c r="AA37" s="3"/>
      <c r="AB37" s="3">
        <f t="shared" si="6"/>
        <v>0</v>
      </c>
      <c r="AC37" s="3">
        <f t="shared" si="7"/>
        <v>0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14.25" spans="1:49">
      <c r="A38" s="89" t="s">
        <v>180</v>
      </c>
      <c r="B38" s="3">
        <v>64</v>
      </c>
      <c r="C38" s="3">
        <v>53</v>
      </c>
      <c r="D38" s="3">
        <v>38</v>
      </c>
      <c r="E38" s="3">
        <v>52</v>
      </c>
      <c r="F38" s="3">
        <v>21</v>
      </c>
      <c r="G38" s="3">
        <f t="shared" si="8"/>
        <v>73</v>
      </c>
      <c r="H38" s="3">
        <f t="shared" si="9"/>
        <v>228</v>
      </c>
      <c r="I38" s="3">
        <v>56</v>
      </c>
      <c r="J38" s="3">
        <v>75</v>
      </c>
      <c r="K38" s="3">
        <v>64</v>
      </c>
      <c r="L38" s="3">
        <v>33</v>
      </c>
      <c r="M38" s="3">
        <v>18</v>
      </c>
      <c r="N38" s="37">
        <f t="shared" si="11"/>
        <v>51</v>
      </c>
      <c r="O38" s="3">
        <f t="shared" si="10"/>
        <v>246</v>
      </c>
      <c r="P38" s="3">
        <v>64</v>
      </c>
      <c r="Q38" s="3">
        <v>50</v>
      </c>
      <c r="R38" s="3">
        <v>72</v>
      </c>
      <c r="S38" s="3">
        <v>52</v>
      </c>
      <c r="T38" s="3">
        <v>25.5</v>
      </c>
      <c r="U38" s="3">
        <f t="shared" si="4"/>
        <v>77.5</v>
      </c>
      <c r="V38" s="3">
        <f t="shared" si="5"/>
        <v>263.5</v>
      </c>
      <c r="W38" s="37" t="s">
        <v>50</v>
      </c>
      <c r="X38" s="3"/>
      <c r="Y38" s="3"/>
      <c r="Z38" s="3"/>
      <c r="AA38" s="3"/>
      <c r="AB38" s="3">
        <f t="shared" si="6"/>
        <v>0</v>
      </c>
      <c r="AC38" s="3">
        <f t="shared" si="7"/>
        <v>0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9">
      <c r="A39" s="88" t="s">
        <v>181</v>
      </c>
      <c r="B39" s="3">
        <v>76</v>
      </c>
      <c r="C39" s="3">
        <v>87</v>
      </c>
      <c r="D39" s="3">
        <v>68</v>
      </c>
      <c r="E39" s="3">
        <v>88</v>
      </c>
      <c r="F39" s="3">
        <v>34.5</v>
      </c>
      <c r="G39" s="3">
        <f t="shared" si="8"/>
        <v>122.5</v>
      </c>
      <c r="H39" s="3">
        <f t="shared" si="9"/>
        <v>353.5</v>
      </c>
      <c r="I39" s="3">
        <v>70</v>
      </c>
      <c r="J39" s="3">
        <v>93</v>
      </c>
      <c r="K39" s="3">
        <v>80</v>
      </c>
      <c r="L39" s="3">
        <v>78</v>
      </c>
      <c r="M39" s="3">
        <v>22</v>
      </c>
      <c r="N39" s="37">
        <f t="shared" si="11"/>
        <v>100</v>
      </c>
      <c r="O39" s="3">
        <f t="shared" si="10"/>
        <v>343</v>
      </c>
      <c r="P39" s="3">
        <v>76</v>
      </c>
      <c r="Q39" s="3">
        <v>90</v>
      </c>
      <c r="R39" s="3">
        <v>78</v>
      </c>
      <c r="S39" s="3">
        <v>56</v>
      </c>
      <c r="T39" s="3">
        <v>36</v>
      </c>
      <c r="U39" s="3">
        <f t="shared" si="4"/>
        <v>92</v>
      </c>
      <c r="V39" s="3">
        <f t="shared" si="5"/>
        <v>336</v>
      </c>
      <c r="W39" s="3">
        <v>80</v>
      </c>
      <c r="X39" s="3">
        <v>88</v>
      </c>
      <c r="Y39" s="3">
        <v>76</v>
      </c>
      <c r="Z39" s="3">
        <v>80</v>
      </c>
      <c r="AA39" s="3">
        <v>39</v>
      </c>
      <c r="AB39" s="3">
        <f t="shared" si="6"/>
        <v>119</v>
      </c>
      <c r="AC39" s="3">
        <f t="shared" si="7"/>
        <v>363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9">
      <c r="A40" s="90" t="s">
        <v>182</v>
      </c>
      <c r="B40" s="3">
        <v>84</v>
      </c>
      <c r="C40" s="3">
        <v>87</v>
      </c>
      <c r="D40" s="3">
        <v>76</v>
      </c>
      <c r="E40" s="3">
        <v>94</v>
      </c>
      <c r="F40" s="3">
        <v>33</v>
      </c>
      <c r="G40" s="3">
        <f t="shared" si="8"/>
        <v>127</v>
      </c>
      <c r="H40" s="3">
        <f t="shared" si="9"/>
        <v>374</v>
      </c>
      <c r="I40" s="3">
        <v>76</v>
      </c>
      <c r="J40" s="3">
        <v>78</v>
      </c>
      <c r="K40" s="3">
        <v>82</v>
      </c>
      <c r="L40" s="3">
        <v>65</v>
      </c>
      <c r="M40" s="3">
        <v>23</v>
      </c>
      <c r="N40" s="37">
        <f t="shared" si="11"/>
        <v>88</v>
      </c>
      <c r="O40" s="3">
        <f t="shared" si="10"/>
        <v>324</v>
      </c>
      <c r="P40" s="3">
        <v>84</v>
      </c>
      <c r="Q40" s="3">
        <v>72</v>
      </c>
      <c r="R40" s="3">
        <v>82</v>
      </c>
      <c r="S40" s="3">
        <v>55</v>
      </c>
      <c r="T40" s="3">
        <v>31.5</v>
      </c>
      <c r="U40" s="3">
        <f t="shared" si="4"/>
        <v>86.5</v>
      </c>
      <c r="V40" s="3">
        <f t="shared" si="5"/>
        <v>324.5</v>
      </c>
      <c r="W40" s="3">
        <v>88</v>
      </c>
      <c r="X40" s="3">
        <v>83</v>
      </c>
      <c r="Y40" s="3">
        <v>78</v>
      </c>
      <c r="Z40" s="3">
        <v>58</v>
      </c>
      <c r="AA40" s="3">
        <v>34.5</v>
      </c>
      <c r="AB40" s="3">
        <f t="shared" si="6"/>
        <v>92.5</v>
      </c>
      <c r="AC40" s="3">
        <f t="shared" si="7"/>
        <v>341.5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9">
      <c r="A41" s="90" t="s">
        <v>183</v>
      </c>
      <c r="B41" s="3">
        <v>80</v>
      </c>
      <c r="C41" s="3">
        <v>89</v>
      </c>
      <c r="D41" s="3">
        <v>73</v>
      </c>
      <c r="E41" s="3">
        <v>86</v>
      </c>
      <c r="F41" s="3">
        <v>28.5</v>
      </c>
      <c r="G41" s="3">
        <f t="shared" si="8"/>
        <v>114.5</v>
      </c>
      <c r="H41" s="3">
        <f t="shared" si="9"/>
        <v>356.5</v>
      </c>
      <c r="I41" s="3">
        <v>66</v>
      </c>
      <c r="J41" s="3">
        <v>82</v>
      </c>
      <c r="K41" s="3">
        <v>70</v>
      </c>
      <c r="L41" s="3">
        <v>69</v>
      </c>
      <c r="M41" s="3">
        <v>21</v>
      </c>
      <c r="N41" s="37">
        <f t="shared" si="11"/>
        <v>90</v>
      </c>
      <c r="O41" s="3">
        <f t="shared" si="10"/>
        <v>308</v>
      </c>
      <c r="P41" s="3">
        <v>76</v>
      </c>
      <c r="Q41" s="3">
        <v>72</v>
      </c>
      <c r="R41" s="3">
        <v>74</v>
      </c>
      <c r="S41" s="3">
        <v>56</v>
      </c>
      <c r="T41" s="3">
        <v>36</v>
      </c>
      <c r="U41" s="3">
        <f t="shared" si="4"/>
        <v>92</v>
      </c>
      <c r="V41" s="3">
        <f t="shared" si="5"/>
        <v>314</v>
      </c>
      <c r="W41" s="3">
        <v>82</v>
      </c>
      <c r="X41" s="3">
        <v>73</v>
      </c>
      <c r="Y41" s="3">
        <v>76</v>
      </c>
      <c r="Z41" s="3">
        <v>70</v>
      </c>
      <c r="AA41" s="3">
        <v>37.5</v>
      </c>
      <c r="AB41" s="3">
        <f t="shared" si="6"/>
        <v>107.5</v>
      </c>
      <c r="AC41" s="3">
        <f t="shared" si="7"/>
        <v>338.5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9">
      <c r="A42" s="90" t="s">
        <v>184</v>
      </c>
      <c r="B42" s="3">
        <v>70</v>
      </c>
      <c r="C42" s="3">
        <v>72</v>
      </c>
      <c r="D42" s="3">
        <v>72</v>
      </c>
      <c r="E42" s="3">
        <v>78</v>
      </c>
      <c r="F42" s="3">
        <v>25.5</v>
      </c>
      <c r="G42" s="3">
        <f t="shared" si="8"/>
        <v>103.5</v>
      </c>
      <c r="H42" s="3">
        <f t="shared" si="9"/>
        <v>317.5</v>
      </c>
      <c r="I42" s="3">
        <v>58</v>
      </c>
      <c r="J42" s="3">
        <v>67</v>
      </c>
      <c r="K42" s="3">
        <v>72</v>
      </c>
      <c r="L42" s="3">
        <v>32</v>
      </c>
      <c r="M42" s="3">
        <v>22</v>
      </c>
      <c r="N42" s="37">
        <f t="shared" si="11"/>
        <v>54</v>
      </c>
      <c r="O42" s="3">
        <f t="shared" si="10"/>
        <v>251</v>
      </c>
      <c r="P42" s="3">
        <v>76</v>
      </c>
      <c r="Q42" s="3">
        <v>60</v>
      </c>
      <c r="R42" s="3">
        <v>82</v>
      </c>
      <c r="S42" s="3">
        <v>38</v>
      </c>
      <c r="T42" s="3">
        <v>34.5</v>
      </c>
      <c r="U42" s="3">
        <f t="shared" si="4"/>
        <v>72.5</v>
      </c>
      <c r="V42" s="3">
        <f t="shared" si="5"/>
        <v>290.5</v>
      </c>
      <c r="W42" s="3">
        <v>64</v>
      </c>
      <c r="X42" s="3">
        <v>74</v>
      </c>
      <c r="Y42" s="3">
        <v>54</v>
      </c>
      <c r="Z42" s="3">
        <v>60</v>
      </c>
      <c r="AA42" s="3">
        <v>30</v>
      </c>
      <c r="AB42" s="3">
        <f t="shared" si="6"/>
        <v>90</v>
      </c>
      <c r="AC42" s="3">
        <f t="shared" si="7"/>
        <v>282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9">
      <c r="A43" s="90" t="s">
        <v>185</v>
      </c>
      <c r="B43" s="3">
        <v>86</v>
      </c>
      <c r="C43" s="3">
        <v>89</v>
      </c>
      <c r="D43" s="3">
        <v>71</v>
      </c>
      <c r="E43" s="3">
        <v>92</v>
      </c>
      <c r="F43" s="3">
        <v>33</v>
      </c>
      <c r="G43" s="3">
        <f t="shared" si="8"/>
        <v>125</v>
      </c>
      <c r="H43" s="3">
        <f t="shared" si="9"/>
        <v>371</v>
      </c>
      <c r="I43" s="3">
        <v>72</v>
      </c>
      <c r="J43" s="3">
        <v>71</v>
      </c>
      <c r="K43" s="3">
        <v>82</v>
      </c>
      <c r="L43" s="3">
        <v>59</v>
      </c>
      <c r="M43" s="3">
        <v>21</v>
      </c>
      <c r="N43" s="37">
        <f t="shared" si="11"/>
        <v>80</v>
      </c>
      <c r="O43" s="3">
        <f t="shared" si="10"/>
        <v>305</v>
      </c>
      <c r="P43" s="3">
        <v>92</v>
      </c>
      <c r="Q43" s="3">
        <v>84</v>
      </c>
      <c r="R43" s="3">
        <v>86</v>
      </c>
      <c r="S43" s="3">
        <v>70</v>
      </c>
      <c r="T43" s="3">
        <v>37.5</v>
      </c>
      <c r="U43" s="3">
        <f t="shared" si="4"/>
        <v>107.5</v>
      </c>
      <c r="V43" s="3">
        <f t="shared" si="5"/>
        <v>369.5</v>
      </c>
      <c r="W43" s="3">
        <v>92</v>
      </c>
      <c r="X43" s="3">
        <v>95</v>
      </c>
      <c r="Y43" s="3">
        <v>76</v>
      </c>
      <c r="Z43" s="3">
        <v>79</v>
      </c>
      <c r="AA43" s="3">
        <v>39</v>
      </c>
      <c r="AB43" s="3">
        <f t="shared" si="6"/>
        <v>118</v>
      </c>
      <c r="AC43" s="3">
        <f t="shared" si="7"/>
        <v>381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9">
      <c r="A44" s="90" t="s">
        <v>186</v>
      </c>
      <c r="B44" s="3">
        <v>82</v>
      </c>
      <c r="C44" s="3">
        <v>86</v>
      </c>
      <c r="D44" s="3">
        <v>67</v>
      </c>
      <c r="E44" s="3">
        <v>83</v>
      </c>
      <c r="F44" s="3">
        <v>27</v>
      </c>
      <c r="G44" s="3">
        <f t="shared" si="8"/>
        <v>110</v>
      </c>
      <c r="H44" s="3">
        <f t="shared" si="9"/>
        <v>345</v>
      </c>
      <c r="I44" s="3">
        <v>66</v>
      </c>
      <c r="J44" s="3"/>
      <c r="K44" s="3">
        <v>78</v>
      </c>
      <c r="L44" s="3">
        <v>59</v>
      </c>
      <c r="M44" s="3">
        <v>21</v>
      </c>
      <c r="N44" s="37">
        <f t="shared" si="11"/>
        <v>80</v>
      </c>
      <c r="O44" s="3">
        <f t="shared" si="10"/>
        <v>224</v>
      </c>
      <c r="P44" s="3">
        <v>86</v>
      </c>
      <c r="Q44" s="3">
        <v>70</v>
      </c>
      <c r="R44" s="3">
        <v>60</v>
      </c>
      <c r="S44" s="3">
        <v>28</v>
      </c>
      <c r="T44" s="3">
        <v>34.5</v>
      </c>
      <c r="U44" s="3">
        <f t="shared" si="4"/>
        <v>62.5</v>
      </c>
      <c r="V44" s="3">
        <f t="shared" si="5"/>
        <v>278.5</v>
      </c>
      <c r="W44" s="3">
        <v>78</v>
      </c>
      <c r="X44" s="3">
        <v>82</v>
      </c>
      <c r="Y44" s="3">
        <v>64</v>
      </c>
      <c r="Z44" s="3">
        <v>77</v>
      </c>
      <c r="AA44" s="3">
        <v>36</v>
      </c>
      <c r="AB44" s="3">
        <f t="shared" si="6"/>
        <v>113</v>
      </c>
      <c r="AC44" s="3">
        <f t="shared" si="7"/>
        <v>337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9">
      <c r="A45" s="90" t="s">
        <v>187</v>
      </c>
      <c r="B45" s="3">
        <v>74</v>
      </c>
      <c r="C45" s="3">
        <v>94</v>
      </c>
      <c r="D45" s="3">
        <v>74</v>
      </c>
      <c r="E45" s="3">
        <v>95</v>
      </c>
      <c r="F45" s="3">
        <v>33</v>
      </c>
      <c r="G45" s="3">
        <f t="shared" si="8"/>
        <v>128</v>
      </c>
      <c r="H45" s="3">
        <f t="shared" si="9"/>
        <v>370</v>
      </c>
      <c r="I45" s="3">
        <v>70</v>
      </c>
      <c r="J45" s="3">
        <v>94</v>
      </c>
      <c r="K45" s="3">
        <v>80</v>
      </c>
      <c r="L45" s="3">
        <v>91</v>
      </c>
      <c r="M45" s="3">
        <v>24</v>
      </c>
      <c r="N45" s="37">
        <f t="shared" si="11"/>
        <v>115</v>
      </c>
      <c r="O45" s="3">
        <f t="shared" si="10"/>
        <v>359</v>
      </c>
      <c r="P45" s="3">
        <v>80</v>
      </c>
      <c r="Q45" s="3">
        <v>93</v>
      </c>
      <c r="R45" s="3">
        <v>86</v>
      </c>
      <c r="S45" s="3">
        <v>97</v>
      </c>
      <c r="T45" s="3">
        <v>36</v>
      </c>
      <c r="U45" s="3">
        <f t="shared" si="4"/>
        <v>133</v>
      </c>
      <c r="V45" s="3">
        <f t="shared" si="5"/>
        <v>392</v>
      </c>
      <c r="W45" s="3">
        <v>96</v>
      </c>
      <c r="X45" s="3">
        <v>92</v>
      </c>
      <c r="Y45" s="3">
        <v>78</v>
      </c>
      <c r="Z45" s="3">
        <v>98</v>
      </c>
      <c r="AA45" s="3">
        <v>33</v>
      </c>
      <c r="AB45" s="3">
        <f t="shared" si="6"/>
        <v>131</v>
      </c>
      <c r="AC45" s="3">
        <f t="shared" si="7"/>
        <v>397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9">
      <c r="A46" s="16" t="s">
        <v>188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v>70</v>
      </c>
      <c r="Q46" s="3">
        <v>48</v>
      </c>
      <c r="R46" s="3">
        <v>72</v>
      </c>
      <c r="S46" s="3">
        <v>41</v>
      </c>
      <c r="T46" s="3">
        <v>27</v>
      </c>
      <c r="U46" s="3">
        <v>68</v>
      </c>
      <c r="V46" s="3">
        <f t="shared" si="5"/>
        <v>258</v>
      </c>
      <c r="W46" s="3">
        <v>88</v>
      </c>
      <c r="X46" s="3">
        <v>46</v>
      </c>
      <c r="Y46" s="3">
        <v>52</v>
      </c>
      <c r="Z46" s="3">
        <v>51</v>
      </c>
      <c r="AA46" s="3">
        <v>25.5</v>
      </c>
      <c r="AB46" s="3">
        <f t="shared" si="6"/>
        <v>76.5</v>
      </c>
      <c r="AC46" s="3">
        <f t="shared" si="7"/>
        <v>262.5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"/>
  <sheetViews>
    <sheetView zoomScale="40" zoomScaleNormal="40" topLeftCell="A21" workbookViewId="0">
      <pane xSplit="1" topLeftCell="B1" activePane="topRight" state="frozen"/>
      <selection/>
      <selection pane="topRight" activeCell="K44" sqref="K44"/>
    </sheetView>
  </sheetViews>
  <sheetFormatPr defaultColWidth="9.64166666666667" defaultRowHeight="13.5"/>
  <cols>
    <col min="1" max="1" width="10" customWidth="1"/>
    <col min="2" max="3" width="6.375" customWidth="1"/>
    <col min="4" max="7" width="11.25" customWidth="1"/>
    <col min="8" max="8" width="7.875" customWidth="1"/>
    <col min="9" max="10" width="5.375" customWidth="1"/>
    <col min="11" max="14" width="9.375" customWidth="1"/>
    <col min="15" max="15" width="6.625" customWidth="1"/>
    <col min="16" max="17" width="6.375" customWidth="1"/>
    <col min="18" max="21" width="9.375" customWidth="1"/>
    <col min="22" max="22" width="7.875" customWidth="1"/>
    <col min="23" max="24" width="6.375" customWidth="1"/>
    <col min="25" max="28" width="9.375" customWidth="1"/>
    <col min="29" max="29" width="7.875" customWidth="1"/>
  </cols>
  <sheetData>
    <row r="1" ht="27.35" customHeight="1" spans="1:29">
      <c r="A1" s="4"/>
      <c r="B1" s="65" t="s">
        <v>189</v>
      </c>
      <c r="C1" s="65"/>
      <c r="D1" s="65"/>
      <c r="E1" s="65"/>
      <c r="F1" s="65"/>
      <c r="G1" s="65"/>
      <c r="H1" s="65"/>
      <c r="I1" s="66" t="s">
        <v>1</v>
      </c>
      <c r="J1" s="65"/>
      <c r="K1" s="65"/>
      <c r="L1" s="65"/>
      <c r="M1" s="65"/>
      <c r="N1" s="65"/>
      <c r="O1" s="65"/>
      <c r="P1" s="65" t="s">
        <v>2</v>
      </c>
      <c r="Q1" s="65"/>
      <c r="R1" s="65"/>
      <c r="S1" s="65"/>
      <c r="T1" s="65"/>
      <c r="U1" s="65"/>
      <c r="V1" s="65"/>
      <c r="W1" s="66" t="s">
        <v>3</v>
      </c>
      <c r="X1" s="65"/>
      <c r="Y1" s="65"/>
      <c r="Z1" s="65"/>
      <c r="AA1" s="65"/>
      <c r="AB1" s="65"/>
      <c r="AC1" s="65"/>
    </row>
    <row r="2" ht="18.75" spans="1:29">
      <c r="A2" s="49" t="s">
        <v>4</v>
      </c>
      <c r="B2" s="67" t="s">
        <v>5</v>
      </c>
      <c r="C2" s="67" t="s">
        <v>6</v>
      </c>
      <c r="D2" s="68" t="s">
        <v>7</v>
      </c>
      <c r="E2" s="67" t="s">
        <v>8</v>
      </c>
      <c r="F2" s="49" t="s">
        <v>104</v>
      </c>
      <c r="G2" s="69" t="s">
        <v>10</v>
      </c>
      <c r="H2" s="67" t="s">
        <v>11</v>
      </c>
      <c r="I2" s="70" t="s">
        <v>5</v>
      </c>
      <c r="J2" s="70" t="s">
        <v>6</v>
      </c>
      <c r="K2" s="71" t="s">
        <v>7</v>
      </c>
      <c r="L2" s="70" t="s">
        <v>8</v>
      </c>
      <c r="M2" s="72" t="s">
        <v>104</v>
      </c>
      <c r="N2" s="73" t="s">
        <v>10</v>
      </c>
      <c r="O2" s="70" t="s">
        <v>11</v>
      </c>
      <c r="P2" s="70" t="s">
        <v>5</v>
      </c>
      <c r="Q2" s="70" t="s">
        <v>6</v>
      </c>
      <c r="R2" s="71" t="s">
        <v>7</v>
      </c>
      <c r="S2" s="70" t="s">
        <v>8</v>
      </c>
      <c r="T2" s="72" t="s">
        <v>104</v>
      </c>
      <c r="U2" s="73" t="s">
        <v>10</v>
      </c>
      <c r="V2" s="70" t="s">
        <v>11</v>
      </c>
      <c r="W2" s="70" t="s">
        <v>5</v>
      </c>
      <c r="X2" s="70" t="s">
        <v>6</v>
      </c>
      <c r="Y2" s="71" t="s">
        <v>7</v>
      </c>
      <c r="Z2" s="70" t="s">
        <v>8</v>
      </c>
      <c r="AA2" s="72" t="s">
        <v>104</v>
      </c>
      <c r="AB2" s="73" t="s">
        <v>10</v>
      </c>
      <c r="AC2" s="70" t="s">
        <v>11</v>
      </c>
    </row>
    <row r="3" ht="18.75" spans="1:29">
      <c r="A3" s="49" t="s">
        <v>190</v>
      </c>
      <c r="B3" s="74">
        <v>64</v>
      </c>
      <c r="C3" s="74">
        <v>58</v>
      </c>
      <c r="D3" s="74">
        <v>40</v>
      </c>
      <c r="E3" s="74">
        <v>48</v>
      </c>
      <c r="F3" s="74">
        <v>22.5</v>
      </c>
      <c r="G3" s="74">
        <f t="shared" ref="G3:G23" si="0">SUM(E3,F3)</f>
        <v>70.5</v>
      </c>
      <c r="H3" s="74">
        <f t="shared" ref="H3:H23" si="1">SUM(B3,C3,D3,G3)</f>
        <v>232.5</v>
      </c>
      <c r="I3" s="74">
        <v>52</v>
      </c>
      <c r="J3" s="74">
        <v>38</v>
      </c>
      <c r="K3" s="74">
        <v>46</v>
      </c>
      <c r="L3" s="74">
        <v>52</v>
      </c>
      <c r="M3" s="75">
        <v>30</v>
      </c>
      <c r="N3" s="74">
        <f t="shared" ref="N3:N17" si="2">SUM(L3,M3)</f>
        <v>82</v>
      </c>
      <c r="O3" s="74">
        <f t="shared" ref="O3:O17" si="3">SUM(I3,J3,K3,N3)</f>
        <v>218</v>
      </c>
      <c r="P3" s="74">
        <v>68</v>
      </c>
      <c r="Q3" s="74">
        <v>49</v>
      </c>
      <c r="R3" s="74">
        <v>54</v>
      </c>
      <c r="S3" s="74">
        <v>75</v>
      </c>
      <c r="T3" s="74">
        <v>22.5</v>
      </c>
      <c r="U3" s="74">
        <f t="shared" ref="U3:U47" si="4">SUM(S3,T3)</f>
        <v>97.5</v>
      </c>
      <c r="V3" s="74">
        <f t="shared" ref="V3:V47" si="5">SUM(P3,Q3,R3,U3)</f>
        <v>268.5</v>
      </c>
      <c r="W3" s="74">
        <v>72</v>
      </c>
      <c r="X3" s="74">
        <v>51</v>
      </c>
      <c r="Y3" s="74">
        <v>50</v>
      </c>
      <c r="Z3" s="74">
        <v>57</v>
      </c>
      <c r="AA3" s="74">
        <v>24</v>
      </c>
      <c r="AB3" s="74">
        <f t="shared" ref="AB3:AB50" si="6">SUM(Z3,AA3)</f>
        <v>81</v>
      </c>
      <c r="AC3" s="74">
        <f t="shared" ref="AC3:AC50" si="7">SUM(W3,X3,Y3,AB3)</f>
        <v>254</v>
      </c>
    </row>
    <row r="4" ht="18.75" spans="1:29">
      <c r="A4" s="49" t="s">
        <v>191</v>
      </c>
      <c r="B4" s="74">
        <v>56</v>
      </c>
      <c r="C4" s="74">
        <v>59</v>
      </c>
      <c r="D4" s="74">
        <v>62</v>
      </c>
      <c r="E4" s="74">
        <v>81</v>
      </c>
      <c r="F4" s="74">
        <v>31.5</v>
      </c>
      <c r="G4" s="74">
        <f t="shared" si="0"/>
        <v>112.5</v>
      </c>
      <c r="H4" s="74">
        <f t="shared" si="1"/>
        <v>289.5</v>
      </c>
      <c r="I4" s="14" t="s">
        <v>50</v>
      </c>
      <c r="J4" s="14" t="s">
        <v>50</v>
      </c>
      <c r="K4" s="14" t="s">
        <v>50</v>
      </c>
      <c r="L4" s="14" t="s">
        <v>50</v>
      </c>
      <c r="M4" s="14" t="s">
        <v>50</v>
      </c>
      <c r="N4" s="14" t="s">
        <v>50</v>
      </c>
      <c r="O4" s="14" t="s">
        <v>50</v>
      </c>
      <c r="P4" s="74">
        <v>66</v>
      </c>
      <c r="Q4" s="14">
        <v>60</v>
      </c>
      <c r="R4" s="74">
        <v>72</v>
      </c>
      <c r="S4" s="74">
        <v>47</v>
      </c>
      <c r="T4" s="74">
        <v>28.5</v>
      </c>
      <c r="U4" s="74">
        <f t="shared" si="4"/>
        <v>75.5</v>
      </c>
      <c r="V4" s="74">
        <f t="shared" si="5"/>
        <v>273.5</v>
      </c>
      <c r="W4" s="74">
        <v>74</v>
      </c>
      <c r="X4" s="74">
        <v>64</v>
      </c>
      <c r="Y4" s="74">
        <v>66</v>
      </c>
      <c r="Z4" s="74">
        <v>64</v>
      </c>
      <c r="AA4" s="74">
        <v>30</v>
      </c>
      <c r="AB4" s="74">
        <f t="shared" si="6"/>
        <v>94</v>
      </c>
      <c r="AC4" s="74">
        <f t="shared" si="7"/>
        <v>298</v>
      </c>
    </row>
    <row r="5" ht="18.75" spans="1:29">
      <c r="A5" s="49" t="s">
        <v>192</v>
      </c>
      <c r="B5" s="14" t="s">
        <v>14</v>
      </c>
      <c r="C5" s="14" t="s">
        <v>14</v>
      </c>
      <c r="D5" s="14" t="s">
        <v>14</v>
      </c>
      <c r="E5" s="14" t="s">
        <v>14</v>
      </c>
      <c r="F5" s="14" t="s">
        <v>14</v>
      </c>
      <c r="G5" s="14" t="s">
        <v>14</v>
      </c>
      <c r="H5" s="14" t="s">
        <v>14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4" t="s">
        <v>50</v>
      </c>
      <c r="P5" s="14" t="s">
        <v>14</v>
      </c>
      <c r="Q5" s="14" t="s">
        <v>14</v>
      </c>
      <c r="R5" s="14" t="s">
        <v>14</v>
      </c>
      <c r="S5" s="14" t="s">
        <v>14</v>
      </c>
      <c r="T5" s="14" t="s">
        <v>14</v>
      </c>
      <c r="U5" s="14" t="s">
        <v>14</v>
      </c>
      <c r="V5" s="14" t="s">
        <v>14</v>
      </c>
      <c r="W5" s="74">
        <v>82</v>
      </c>
      <c r="X5" s="74">
        <v>68</v>
      </c>
      <c r="Y5" s="74">
        <v>72</v>
      </c>
      <c r="Z5" s="74">
        <v>46</v>
      </c>
      <c r="AA5" s="74">
        <v>34.5</v>
      </c>
      <c r="AB5" s="74">
        <f t="shared" si="6"/>
        <v>80.5</v>
      </c>
      <c r="AC5" s="74">
        <f t="shared" si="7"/>
        <v>302.5</v>
      </c>
    </row>
    <row r="6" ht="18.75" spans="1:29">
      <c r="A6" s="49" t="s">
        <v>193</v>
      </c>
      <c r="B6" s="74">
        <v>84</v>
      </c>
      <c r="C6" s="74">
        <v>76</v>
      </c>
      <c r="D6" s="74">
        <v>66</v>
      </c>
      <c r="E6" s="74">
        <v>84</v>
      </c>
      <c r="F6" s="74">
        <v>34.5</v>
      </c>
      <c r="G6" s="74">
        <f t="shared" si="0"/>
        <v>118.5</v>
      </c>
      <c r="H6" s="74">
        <f t="shared" si="1"/>
        <v>344.5</v>
      </c>
      <c r="I6" s="74">
        <v>56</v>
      </c>
      <c r="J6" s="74">
        <v>90</v>
      </c>
      <c r="K6" s="74">
        <v>84</v>
      </c>
      <c r="L6" s="74">
        <v>78</v>
      </c>
      <c r="M6" s="12">
        <v>38</v>
      </c>
      <c r="N6" s="74">
        <f t="shared" si="2"/>
        <v>116</v>
      </c>
      <c r="O6" s="74">
        <f t="shared" si="3"/>
        <v>346</v>
      </c>
      <c r="P6" s="74">
        <v>76</v>
      </c>
      <c r="Q6" s="74">
        <v>54</v>
      </c>
      <c r="R6" s="74">
        <v>68</v>
      </c>
      <c r="S6" s="74">
        <v>84</v>
      </c>
      <c r="T6" s="74">
        <v>36</v>
      </c>
      <c r="U6" s="74">
        <f t="shared" si="4"/>
        <v>120</v>
      </c>
      <c r="V6" s="74">
        <f t="shared" si="5"/>
        <v>318</v>
      </c>
      <c r="W6" s="74">
        <v>78</v>
      </c>
      <c r="X6" s="74">
        <v>66</v>
      </c>
      <c r="Y6" s="74">
        <v>60</v>
      </c>
      <c r="Z6" s="74">
        <v>86</v>
      </c>
      <c r="AA6" s="74">
        <v>34.5</v>
      </c>
      <c r="AB6" s="74">
        <f t="shared" si="6"/>
        <v>120.5</v>
      </c>
      <c r="AC6" s="74">
        <f t="shared" si="7"/>
        <v>324.5</v>
      </c>
    </row>
    <row r="7" ht="18.75" spans="1:29">
      <c r="A7" s="49" t="s">
        <v>194</v>
      </c>
      <c r="B7" s="74">
        <v>46</v>
      </c>
      <c r="C7" s="74">
        <v>60</v>
      </c>
      <c r="D7" s="74">
        <v>65</v>
      </c>
      <c r="E7" s="74">
        <v>60</v>
      </c>
      <c r="F7" s="74">
        <v>36</v>
      </c>
      <c r="G7" s="74">
        <f t="shared" si="0"/>
        <v>96</v>
      </c>
      <c r="H7" s="74">
        <f t="shared" si="1"/>
        <v>267</v>
      </c>
      <c r="I7" s="74">
        <v>64</v>
      </c>
      <c r="J7" s="74">
        <v>63</v>
      </c>
      <c r="K7" s="74">
        <v>62</v>
      </c>
      <c r="L7" s="74">
        <v>64</v>
      </c>
      <c r="M7" s="12">
        <v>32</v>
      </c>
      <c r="N7" s="74">
        <f t="shared" si="2"/>
        <v>96</v>
      </c>
      <c r="O7" s="74">
        <f t="shared" si="3"/>
        <v>285</v>
      </c>
      <c r="P7" s="74">
        <v>72</v>
      </c>
      <c r="Q7" s="74">
        <v>41</v>
      </c>
      <c r="R7" s="74">
        <v>64</v>
      </c>
      <c r="S7" s="74">
        <v>62</v>
      </c>
      <c r="T7" s="74">
        <v>34.5</v>
      </c>
      <c r="U7" s="74">
        <f t="shared" si="4"/>
        <v>96.5</v>
      </c>
      <c r="V7" s="74">
        <f t="shared" si="5"/>
        <v>273.5</v>
      </c>
      <c r="W7" s="74">
        <v>58</v>
      </c>
      <c r="X7" s="74">
        <v>66</v>
      </c>
      <c r="Y7" s="74">
        <v>54</v>
      </c>
      <c r="Z7" s="74">
        <v>46</v>
      </c>
      <c r="AA7" s="74">
        <v>36</v>
      </c>
      <c r="AB7" s="74">
        <f t="shared" si="6"/>
        <v>82</v>
      </c>
      <c r="AC7" s="74">
        <f t="shared" si="7"/>
        <v>260</v>
      </c>
    </row>
    <row r="8" ht="18.75" spans="1:29">
      <c r="A8" s="49" t="s">
        <v>195</v>
      </c>
      <c r="B8" s="74">
        <v>86</v>
      </c>
      <c r="C8" s="74">
        <v>90</v>
      </c>
      <c r="D8" s="74">
        <v>71</v>
      </c>
      <c r="E8" s="74">
        <v>86</v>
      </c>
      <c r="F8" s="74">
        <v>42</v>
      </c>
      <c r="G8" s="74">
        <f t="shared" si="0"/>
        <v>128</v>
      </c>
      <c r="H8" s="74">
        <f t="shared" si="1"/>
        <v>375</v>
      </c>
      <c r="I8" s="74">
        <v>84</v>
      </c>
      <c r="J8" s="74">
        <v>90</v>
      </c>
      <c r="K8" s="74">
        <v>84</v>
      </c>
      <c r="L8" s="74">
        <v>71</v>
      </c>
      <c r="M8" s="12">
        <v>42</v>
      </c>
      <c r="N8" s="74">
        <f t="shared" si="2"/>
        <v>113</v>
      </c>
      <c r="O8" s="74">
        <f t="shared" si="3"/>
        <v>371</v>
      </c>
      <c r="P8" s="14" t="s">
        <v>14</v>
      </c>
      <c r="Q8" s="14" t="s">
        <v>14</v>
      </c>
      <c r="R8" s="14" t="s">
        <v>14</v>
      </c>
      <c r="S8" s="14" t="s">
        <v>14</v>
      </c>
      <c r="T8" s="14" t="s">
        <v>14</v>
      </c>
      <c r="U8" s="14" t="s">
        <v>14</v>
      </c>
      <c r="V8" s="14" t="s">
        <v>14</v>
      </c>
      <c r="W8" s="74">
        <v>90</v>
      </c>
      <c r="X8" s="74">
        <v>94</v>
      </c>
      <c r="Y8" s="74">
        <v>78</v>
      </c>
      <c r="Z8" s="74">
        <v>76</v>
      </c>
      <c r="AA8" s="74">
        <v>42</v>
      </c>
      <c r="AB8" s="74">
        <f t="shared" si="6"/>
        <v>118</v>
      </c>
      <c r="AC8" s="74">
        <f t="shared" si="7"/>
        <v>380</v>
      </c>
    </row>
    <row r="9" ht="18.75" spans="1:29">
      <c r="A9" s="49" t="s">
        <v>196</v>
      </c>
      <c r="B9" s="74">
        <v>72</v>
      </c>
      <c r="C9" s="74">
        <v>92</v>
      </c>
      <c r="D9" s="74">
        <v>70</v>
      </c>
      <c r="E9" s="74">
        <v>80</v>
      </c>
      <c r="F9" s="74">
        <v>39</v>
      </c>
      <c r="G9" s="74">
        <f t="shared" si="0"/>
        <v>119</v>
      </c>
      <c r="H9" s="74">
        <f t="shared" si="1"/>
        <v>353</v>
      </c>
      <c r="I9" s="74">
        <v>52</v>
      </c>
      <c r="J9" s="74">
        <v>85</v>
      </c>
      <c r="K9" s="74">
        <v>72</v>
      </c>
      <c r="L9" s="74">
        <v>70</v>
      </c>
      <c r="M9" s="12">
        <v>38</v>
      </c>
      <c r="N9" s="74">
        <f t="shared" si="2"/>
        <v>108</v>
      </c>
      <c r="O9" s="74">
        <f t="shared" si="3"/>
        <v>317</v>
      </c>
      <c r="P9" s="14" t="s">
        <v>14</v>
      </c>
      <c r="Q9" s="14" t="s">
        <v>14</v>
      </c>
      <c r="R9" s="14" t="s">
        <v>14</v>
      </c>
      <c r="S9" s="14" t="s">
        <v>14</v>
      </c>
      <c r="T9" s="14" t="s">
        <v>14</v>
      </c>
      <c r="U9" s="14" t="s">
        <v>14</v>
      </c>
      <c r="V9" s="14" t="s">
        <v>14</v>
      </c>
      <c r="W9" s="74">
        <v>80</v>
      </c>
      <c r="X9" s="74">
        <v>89</v>
      </c>
      <c r="Y9" s="74">
        <v>74</v>
      </c>
      <c r="Z9" s="74">
        <v>76</v>
      </c>
      <c r="AA9" s="74">
        <v>36</v>
      </c>
      <c r="AB9" s="74">
        <f t="shared" si="6"/>
        <v>112</v>
      </c>
      <c r="AC9" s="74">
        <f t="shared" si="7"/>
        <v>355</v>
      </c>
    </row>
    <row r="10" ht="18.75" spans="1:29">
      <c r="A10" s="49" t="s">
        <v>197</v>
      </c>
      <c r="B10" s="74">
        <v>50</v>
      </c>
      <c r="C10" s="74">
        <v>69</v>
      </c>
      <c r="D10" s="74">
        <v>48</v>
      </c>
      <c r="E10" s="74">
        <v>71</v>
      </c>
      <c r="F10" s="74">
        <v>24</v>
      </c>
      <c r="G10" s="74">
        <f t="shared" si="0"/>
        <v>95</v>
      </c>
      <c r="H10" s="74">
        <f t="shared" si="1"/>
        <v>262</v>
      </c>
      <c r="I10" s="74">
        <v>40</v>
      </c>
      <c r="J10" s="74">
        <v>63</v>
      </c>
      <c r="K10" s="74">
        <v>64</v>
      </c>
      <c r="L10" s="74">
        <v>31</v>
      </c>
      <c r="M10" s="12">
        <v>30</v>
      </c>
      <c r="N10" s="74">
        <f t="shared" si="2"/>
        <v>61</v>
      </c>
      <c r="O10" s="74">
        <f t="shared" si="3"/>
        <v>228</v>
      </c>
      <c r="P10" s="74">
        <v>58</v>
      </c>
      <c r="Q10" s="74">
        <v>45</v>
      </c>
      <c r="R10" s="74">
        <v>62</v>
      </c>
      <c r="S10" s="74">
        <v>43</v>
      </c>
      <c r="T10" s="74">
        <v>30</v>
      </c>
      <c r="U10" s="74">
        <f t="shared" si="4"/>
        <v>73</v>
      </c>
      <c r="V10" s="74">
        <f t="shared" si="5"/>
        <v>238</v>
      </c>
      <c r="W10" s="74">
        <v>62</v>
      </c>
      <c r="X10" s="74">
        <v>68</v>
      </c>
      <c r="Y10" s="74">
        <v>56</v>
      </c>
      <c r="Z10" s="74">
        <v>49</v>
      </c>
      <c r="AA10" s="74">
        <v>27</v>
      </c>
      <c r="AB10" s="74">
        <f t="shared" si="6"/>
        <v>76</v>
      </c>
      <c r="AC10" s="74">
        <f t="shared" si="7"/>
        <v>262</v>
      </c>
    </row>
    <row r="11" ht="18.75" spans="1:29">
      <c r="A11" s="49" t="s">
        <v>198</v>
      </c>
      <c r="B11" s="74">
        <v>58</v>
      </c>
      <c r="C11" s="74">
        <v>71</v>
      </c>
      <c r="D11" s="74">
        <v>56</v>
      </c>
      <c r="E11" s="74">
        <v>80</v>
      </c>
      <c r="F11" s="74">
        <v>37.5</v>
      </c>
      <c r="G11" s="74">
        <f t="shared" si="0"/>
        <v>117.5</v>
      </c>
      <c r="H11" s="74">
        <f t="shared" si="1"/>
        <v>302.5</v>
      </c>
      <c r="I11" s="74">
        <v>66</v>
      </c>
      <c r="J11" s="74">
        <v>81</v>
      </c>
      <c r="K11" s="74">
        <v>72</v>
      </c>
      <c r="L11" s="74">
        <v>66</v>
      </c>
      <c r="M11" s="12">
        <v>32</v>
      </c>
      <c r="N11" s="74">
        <f t="shared" si="2"/>
        <v>98</v>
      </c>
      <c r="O11" s="74">
        <f t="shared" si="3"/>
        <v>317</v>
      </c>
      <c r="P11" s="74">
        <v>74</v>
      </c>
      <c r="Q11" s="74">
        <v>73</v>
      </c>
      <c r="R11" s="74">
        <v>64</v>
      </c>
      <c r="S11" s="74">
        <v>56</v>
      </c>
      <c r="T11" s="74">
        <v>36</v>
      </c>
      <c r="U11" s="74">
        <f t="shared" si="4"/>
        <v>92</v>
      </c>
      <c r="V11" s="74">
        <f t="shared" si="5"/>
        <v>303</v>
      </c>
      <c r="W11" s="74">
        <v>64</v>
      </c>
      <c r="X11" s="74">
        <v>73</v>
      </c>
      <c r="Y11" s="74">
        <v>62</v>
      </c>
      <c r="Z11" s="74">
        <v>71</v>
      </c>
      <c r="AA11" s="74">
        <v>36</v>
      </c>
      <c r="AB11" s="74">
        <f t="shared" si="6"/>
        <v>107</v>
      </c>
      <c r="AC11" s="74">
        <f t="shared" si="7"/>
        <v>306</v>
      </c>
    </row>
    <row r="12" ht="18.75" spans="1:29">
      <c r="A12" s="49" t="s">
        <v>199</v>
      </c>
      <c r="B12" s="74">
        <v>80</v>
      </c>
      <c r="C12" s="74">
        <v>85</v>
      </c>
      <c r="D12" s="74">
        <v>58</v>
      </c>
      <c r="E12" s="74">
        <v>79</v>
      </c>
      <c r="F12" s="74">
        <v>33</v>
      </c>
      <c r="G12" s="74">
        <f t="shared" si="0"/>
        <v>112</v>
      </c>
      <c r="H12" s="74">
        <f t="shared" si="1"/>
        <v>335</v>
      </c>
      <c r="I12" s="74">
        <v>64</v>
      </c>
      <c r="J12" s="74">
        <v>83</v>
      </c>
      <c r="K12" s="74">
        <v>48</v>
      </c>
      <c r="L12" s="74">
        <v>59</v>
      </c>
      <c r="M12" s="12">
        <v>32</v>
      </c>
      <c r="N12" s="74">
        <f t="shared" si="2"/>
        <v>91</v>
      </c>
      <c r="O12" s="74">
        <f t="shared" si="3"/>
        <v>286</v>
      </c>
      <c r="P12" s="74">
        <v>76</v>
      </c>
      <c r="Q12" s="74">
        <v>67</v>
      </c>
      <c r="R12" s="74">
        <v>66</v>
      </c>
      <c r="S12" s="74">
        <v>67</v>
      </c>
      <c r="T12" s="74">
        <v>33</v>
      </c>
      <c r="U12" s="74">
        <f t="shared" si="4"/>
        <v>100</v>
      </c>
      <c r="V12" s="74">
        <f t="shared" si="5"/>
        <v>309</v>
      </c>
      <c r="W12" s="74">
        <v>76</v>
      </c>
      <c r="X12" s="74">
        <v>88</v>
      </c>
      <c r="Y12" s="74">
        <v>60</v>
      </c>
      <c r="Z12" s="74">
        <v>66</v>
      </c>
      <c r="AA12" s="74">
        <v>33</v>
      </c>
      <c r="AB12" s="74">
        <f t="shared" si="6"/>
        <v>99</v>
      </c>
      <c r="AC12" s="74">
        <f t="shared" si="7"/>
        <v>323</v>
      </c>
    </row>
    <row r="13" ht="18.75" spans="1:29">
      <c r="A13" s="49" t="s">
        <v>200</v>
      </c>
      <c r="B13" s="74">
        <v>78</v>
      </c>
      <c r="C13" s="74">
        <v>80</v>
      </c>
      <c r="D13" s="74">
        <v>75</v>
      </c>
      <c r="E13" s="74">
        <v>94</v>
      </c>
      <c r="F13" s="74">
        <v>37.5</v>
      </c>
      <c r="G13" s="74">
        <f t="shared" si="0"/>
        <v>131.5</v>
      </c>
      <c r="H13" s="74">
        <f t="shared" si="1"/>
        <v>364.5</v>
      </c>
      <c r="I13" s="74">
        <v>72</v>
      </c>
      <c r="J13" s="74">
        <v>92</v>
      </c>
      <c r="K13" s="74">
        <v>86</v>
      </c>
      <c r="L13" s="74">
        <v>80</v>
      </c>
      <c r="M13" s="12">
        <v>41</v>
      </c>
      <c r="N13" s="74">
        <f t="shared" si="2"/>
        <v>121</v>
      </c>
      <c r="O13" s="74">
        <f t="shared" si="3"/>
        <v>371</v>
      </c>
      <c r="P13" s="14" t="s">
        <v>14</v>
      </c>
      <c r="Q13" s="14" t="s">
        <v>14</v>
      </c>
      <c r="R13" s="14" t="s">
        <v>14</v>
      </c>
      <c r="S13" s="14" t="s">
        <v>14</v>
      </c>
      <c r="T13" s="14" t="s">
        <v>14</v>
      </c>
      <c r="U13" s="14" t="s">
        <v>14</v>
      </c>
      <c r="V13" s="14" t="s">
        <v>14</v>
      </c>
      <c r="W13" s="74">
        <v>76</v>
      </c>
      <c r="X13" s="74">
        <v>87</v>
      </c>
      <c r="Y13" s="74">
        <v>76</v>
      </c>
      <c r="Z13" s="74">
        <v>75</v>
      </c>
      <c r="AA13" s="74">
        <v>33</v>
      </c>
      <c r="AB13" s="74">
        <f t="shared" si="6"/>
        <v>108</v>
      </c>
      <c r="AC13" s="74">
        <f t="shared" si="7"/>
        <v>347</v>
      </c>
    </row>
    <row r="14" ht="18.75" spans="1:29">
      <c r="A14" s="49" t="s">
        <v>201</v>
      </c>
      <c r="B14" s="74">
        <v>68</v>
      </c>
      <c r="C14" s="74">
        <v>88</v>
      </c>
      <c r="D14" s="74">
        <v>77</v>
      </c>
      <c r="E14" s="74">
        <v>73</v>
      </c>
      <c r="F14" s="74">
        <v>28.5</v>
      </c>
      <c r="G14" s="74">
        <f t="shared" si="0"/>
        <v>101.5</v>
      </c>
      <c r="H14" s="74">
        <f t="shared" si="1"/>
        <v>334.5</v>
      </c>
      <c r="I14" s="74">
        <v>58</v>
      </c>
      <c r="J14" s="74">
        <v>90</v>
      </c>
      <c r="K14" s="74">
        <v>64</v>
      </c>
      <c r="L14" s="74">
        <v>63</v>
      </c>
      <c r="M14" s="12">
        <v>36</v>
      </c>
      <c r="N14" s="74">
        <f t="shared" si="2"/>
        <v>99</v>
      </c>
      <c r="O14" s="74">
        <f t="shared" si="3"/>
        <v>311</v>
      </c>
      <c r="P14" s="74">
        <v>76</v>
      </c>
      <c r="Q14" s="74">
        <v>73</v>
      </c>
      <c r="R14" s="74">
        <v>82</v>
      </c>
      <c r="S14" s="74">
        <v>68</v>
      </c>
      <c r="T14" s="74">
        <v>36</v>
      </c>
      <c r="U14" s="74">
        <f t="shared" si="4"/>
        <v>104</v>
      </c>
      <c r="V14" s="74">
        <f t="shared" si="5"/>
        <v>335</v>
      </c>
      <c r="W14" s="74">
        <v>84</v>
      </c>
      <c r="X14" s="74">
        <v>89</v>
      </c>
      <c r="Y14" s="74">
        <v>68</v>
      </c>
      <c r="Z14" s="74">
        <v>75</v>
      </c>
      <c r="AA14" s="74">
        <v>37.5</v>
      </c>
      <c r="AB14" s="74">
        <f t="shared" si="6"/>
        <v>112.5</v>
      </c>
      <c r="AC14" s="74">
        <f t="shared" si="7"/>
        <v>353.5</v>
      </c>
    </row>
    <row r="15" ht="18.75" spans="1:29">
      <c r="A15" s="49" t="s">
        <v>202</v>
      </c>
      <c r="B15" s="74">
        <v>76</v>
      </c>
      <c r="C15" s="74">
        <v>96</v>
      </c>
      <c r="D15" s="74">
        <v>84</v>
      </c>
      <c r="E15" s="74">
        <v>90</v>
      </c>
      <c r="F15" s="74">
        <v>42</v>
      </c>
      <c r="G15" s="74">
        <f t="shared" si="0"/>
        <v>132</v>
      </c>
      <c r="H15" s="74">
        <f t="shared" si="1"/>
        <v>388</v>
      </c>
      <c r="I15" s="74">
        <v>84</v>
      </c>
      <c r="J15" s="74">
        <v>99</v>
      </c>
      <c r="K15" s="74">
        <v>86</v>
      </c>
      <c r="L15" s="74">
        <v>84</v>
      </c>
      <c r="M15" s="12">
        <v>41</v>
      </c>
      <c r="N15" s="74">
        <f t="shared" si="2"/>
        <v>125</v>
      </c>
      <c r="O15" s="74">
        <f t="shared" si="3"/>
        <v>394</v>
      </c>
      <c r="P15" s="74">
        <v>90</v>
      </c>
      <c r="Q15" s="74">
        <v>100</v>
      </c>
      <c r="R15" s="74">
        <v>94</v>
      </c>
      <c r="S15" s="74">
        <v>98</v>
      </c>
      <c r="T15" s="74">
        <v>40.5</v>
      </c>
      <c r="U15" s="74">
        <f t="shared" si="4"/>
        <v>138.5</v>
      </c>
      <c r="V15" s="74">
        <f t="shared" si="5"/>
        <v>422.5</v>
      </c>
      <c r="W15" s="74">
        <v>96</v>
      </c>
      <c r="X15" s="74">
        <v>92</v>
      </c>
      <c r="Y15" s="74">
        <v>86</v>
      </c>
      <c r="Z15" s="74">
        <v>94</v>
      </c>
      <c r="AA15" s="74">
        <v>42</v>
      </c>
      <c r="AB15" s="74">
        <f t="shared" si="6"/>
        <v>136</v>
      </c>
      <c r="AC15" s="74">
        <f t="shared" si="7"/>
        <v>410</v>
      </c>
    </row>
    <row r="16" ht="18.75" spans="1:29">
      <c r="A16" s="76" t="s">
        <v>203</v>
      </c>
      <c r="B16" s="74">
        <v>72</v>
      </c>
      <c r="C16" s="74">
        <v>99</v>
      </c>
      <c r="D16" s="74">
        <v>81</v>
      </c>
      <c r="E16" s="74">
        <v>90</v>
      </c>
      <c r="F16" s="74">
        <v>40.5</v>
      </c>
      <c r="G16" s="74">
        <f t="shared" si="0"/>
        <v>130.5</v>
      </c>
      <c r="H16" s="74">
        <f t="shared" si="1"/>
        <v>382.5</v>
      </c>
      <c r="I16" s="74">
        <v>78</v>
      </c>
      <c r="J16" s="74">
        <v>99</v>
      </c>
      <c r="K16" s="74">
        <v>76</v>
      </c>
      <c r="L16" s="74">
        <v>81</v>
      </c>
      <c r="M16" s="12">
        <v>38</v>
      </c>
      <c r="N16" s="74">
        <f t="shared" si="2"/>
        <v>119</v>
      </c>
      <c r="O16" s="74">
        <f t="shared" si="3"/>
        <v>372</v>
      </c>
      <c r="P16" s="74">
        <v>84</v>
      </c>
      <c r="Q16" s="74">
        <v>84</v>
      </c>
      <c r="R16" s="74">
        <v>76</v>
      </c>
      <c r="S16" s="74">
        <v>85</v>
      </c>
      <c r="T16" s="74">
        <v>36</v>
      </c>
      <c r="U16" s="74">
        <f t="shared" si="4"/>
        <v>121</v>
      </c>
      <c r="V16" s="74">
        <f t="shared" si="5"/>
        <v>365</v>
      </c>
      <c r="W16" s="74">
        <v>84</v>
      </c>
      <c r="X16" s="74">
        <v>98</v>
      </c>
      <c r="Y16" s="74">
        <v>82</v>
      </c>
      <c r="Z16" s="74">
        <v>81</v>
      </c>
      <c r="AA16" s="74">
        <v>33</v>
      </c>
      <c r="AB16" s="74">
        <f t="shared" si="6"/>
        <v>114</v>
      </c>
      <c r="AC16" s="74">
        <f t="shared" si="7"/>
        <v>378</v>
      </c>
    </row>
    <row r="17" ht="18.75" spans="1:29">
      <c r="A17" s="76" t="s">
        <v>204</v>
      </c>
      <c r="B17" s="74">
        <v>80</v>
      </c>
      <c r="C17" s="74">
        <v>89</v>
      </c>
      <c r="D17" s="74">
        <v>76</v>
      </c>
      <c r="E17" s="74">
        <v>81</v>
      </c>
      <c r="F17" s="74">
        <v>27</v>
      </c>
      <c r="G17" s="74">
        <f t="shared" si="0"/>
        <v>108</v>
      </c>
      <c r="H17" s="74">
        <f t="shared" si="1"/>
        <v>353</v>
      </c>
      <c r="I17" s="74">
        <v>68</v>
      </c>
      <c r="J17" s="74">
        <v>76</v>
      </c>
      <c r="K17" s="74">
        <v>76</v>
      </c>
      <c r="L17" s="74">
        <v>53</v>
      </c>
      <c r="M17" s="12">
        <v>33</v>
      </c>
      <c r="N17" s="74">
        <f t="shared" si="2"/>
        <v>86</v>
      </c>
      <c r="O17" s="74">
        <f t="shared" si="3"/>
        <v>306</v>
      </c>
      <c r="P17" s="14" t="s">
        <v>14</v>
      </c>
      <c r="Q17" s="14" t="s">
        <v>14</v>
      </c>
      <c r="R17" s="14" t="s">
        <v>14</v>
      </c>
      <c r="S17" s="14" t="s">
        <v>14</v>
      </c>
      <c r="T17" s="14" t="s">
        <v>14</v>
      </c>
      <c r="U17" s="14" t="s">
        <v>14</v>
      </c>
      <c r="V17" s="14" t="s">
        <v>14</v>
      </c>
      <c r="W17" s="74">
        <v>78</v>
      </c>
      <c r="X17" s="74">
        <v>77</v>
      </c>
      <c r="Y17" s="74">
        <v>60</v>
      </c>
      <c r="Z17" s="74">
        <v>59</v>
      </c>
      <c r="AA17" s="74">
        <v>33</v>
      </c>
      <c r="AB17" s="74">
        <f t="shared" si="6"/>
        <v>92</v>
      </c>
      <c r="AC17" s="74">
        <f t="shared" si="7"/>
        <v>307</v>
      </c>
    </row>
    <row r="18" ht="18.75" spans="1:29">
      <c r="A18" s="76" t="s">
        <v>205</v>
      </c>
      <c r="B18" s="74">
        <v>62</v>
      </c>
      <c r="C18" s="74">
        <v>66</v>
      </c>
      <c r="D18" s="74">
        <v>65</v>
      </c>
      <c r="E18" s="74">
        <v>77</v>
      </c>
      <c r="F18" s="74">
        <v>30</v>
      </c>
      <c r="G18" s="74">
        <f t="shared" si="0"/>
        <v>107</v>
      </c>
      <c r="H18" s="74">
        <f t="shared" si="1"/>
        <v>300</v>
      </c>
      <c r="I18" s="14" t="s">
        <v>50</v>
      </c>
      <c r="J18" s="14" t="s">
        <v>50</v>
      </c>
      <c r="K18" s="14" t="s">
        <v>50</v>
      </c>
      <c r="L18" s="14" t="s">
        <v>50</v>
      </c>
      <c r="M18" s="14" t="s">
        <v>50</v>
      </c>
      <c r="N18" s="14" t="s">
        <v>50</v>
      </c>
      <c r="O18" s="14" t="s">
        <v>50</v>
      </c>
      <c r="P18" s="74">
        <v>78</v>
      </c>
      <c r="Q18" s="14">
        <v>50</v>
      </c>
      <c r="R18" s="74">
        <v>84</v>
      </c>
      <c r="S18" s="74">
        <v>57</v>
      </c>
      <c r="T18" s="74">
        <v>33</v>
      </c>
      <c r="U18" s="74">
        <f t="shared" si="4"/>
        <v>90</v>
      </c>
      <c r="V18" s="74">
        <f t="shared" si="5"/>
        <v>302</v>
      </c>
      <c r="W18" s="74">
        <v>78</v>
      </c>
      <c r="X18" s="74">
        <v>78</v>
      </c>
      <c r="Y18" s="74">
        <v>58</v>
      </c>
      <c r="Z18" s="74">
        <v>42</v>
      </c>
      <c r="AA18" s="74">
        <v>33</v>
      </c>
      <c r="AB18" s="74">
        <f t="shared" si="6"/>
        <v>75</v>
      </c>
      <c r="AC18" s="74">
        <f t="shared" si="7"/>
        <v>289</v>
      </c>
    </row>
    <row r="19" ht="18.75" spans="1:29">
      <c r="A19" s="76" t="s">
        <v>206</v>
      </c>
      <c r="B19" s="74">
        <v>82</v>
      </c>
      <c r="C19" s="74">
        <v>87</v>
      </c>
      <c r="D19" s="74">
        <v>71</v>
      </c>
      <c r="E19" s="74">
        <v>96</v>
      </c>
      <c r="F19" s="74">
        <v>31.5</v>
      </c>
      <c r="G19" s="74">
        <f t="shared" si="0"/>
        <v>127.5</v>
      </c>
      <c r="H19" s="74">
        <f t="shared" si="1"/>
        <v>367.5</v>
      </c>
      <c r="I19" s="74">
        <v>68</v>
      </c>
      <c r="J19" s="74">
        <v>99</v>
      </c>
      <c r="K19" s="74">
        <v>78</v>
      </c>
      <c r="L19" s="74">
        <v>87</v>
      </c>
      <c r="M19" s="12">
        <v>30</v>
      </c>
      <c r="N19" s="74">
        <f t="shared" ref="N19:N22" si="8">SUM(L19,M19)</f>
        <v>117</v>
      </c>
      <c r="O19" s="74">
        <f t="shared" ref="O19:O22" si="9">SUM(I19,J19,K19,N19)</f>
        <v>362</v>
      </c>
      <c r="P19" s="74">
        <v>84</v>
      </c>
      <c r="Q19" s="74">
        <v>89</v>
      </c>
      <c r="R19" s="74">
        <v>80</v>
      </c>
      <c r="S19" s="74">
        <v>97</v>
      </c>
      <c r="T19" s="74">
        <v>37.5</v>
      </c>
      <c r="U19" s="74">
        <f t="shared" si="4"/>
        <v>134.5</v>
      </c>
      <c r="V19" s="74">
        <f t="shared" si="5"/>
        <v>387.5</v>
      </c>
      <c r="W19" s="74">
        <v>84</v>
      </c>
      <c r="X19" s="74">
        <v>93</v>
      </c>
      <c r="Y19" s="74">
        <v>74</v>
      </c>
      <c r="Z19" s="74">
        <v>86</v>
      </c>
      <c r="AA19" s="74">
        <v>37.5</v>
      </c>
      <c r="AB19" s="74">
        <f t="shared" si="6"/>
        <v>123.5</v>
      </c>
      <c r="AC19" s="74">
        <f t="shared" si="7"/>
        <v>374.5</v>
      </c>
    </row>
    <row r="20" ht="18.75" spans="1:29">
      <c r="A20" s="76" t="s">
        <v>207</v>
      </c>
      <c r="B20" s="74">
        <v>84</v>
      </c>
      <c r="C20" s="74">
        <v>96</v>
      </c>
      <c r="D20" s="74">
        <v>78</v>
      </c>
      <c r="E20" s="74">
        <v>92</v>
      </c>
      <c r="F20" s="74">
        <v>31.5</v>
      </c>
      <c r="G20" s="74">
        <f t="shared" si="0"/>
        <v>123.5</v>
      </c>
      <c r="H20" s="74">
        <f t="shared" si="1"/>
        <v>381.5</v>
      </c>
      <c r="I20" s="74">
        <v>72</v>
      </c>
      <c r="J20" s="74">
        <v>96</v>
      </c>
      <c r="K20" s="74">
        <v>82</v>
      </c>
      <c r="L20" s="74">
        <v>87</v>
      </c>
      <c r="M20" s="12">
        <v>35</v>
      </c>
      <c r="N20" s="74">
        <f t="shared" si="8"/>
        <v>122</v>
      </c>
      <c r="O20" s="74">
        <f t="shared" si="9"/>
        <v>372</v>
      </c>
      <c r="P20" s="74">
        <v>86</v>
      </c>
      <c r="Q20" s="74">
        <v>85</v>
      </c>
      <c r="R20" s="74">
        <v>96</v>
      </c>
      <c r="S20" s="74">
        <v>94</v>
      </c>
      <c r="T20" s="74">
        <v>33</v>
      </c>
      <c r="U20" s="74">
        <f t="shared" si="4"/>
        <v>127</v>
      </c>
      <c r="V20" s="74">
        <f t="shared" si="5"/>
        <v>394</v>
      </c>
      <c r="W20" s="74">
        <v>84</v>
      </c>
      <c r="X20" s="74">
        <v>96</v>
      </c>
      <c r="Y20" s="74">
        <v>82</v>
      </c>
      <c r="Z20" s="74">
        <v>90</v>
      </c>
      <c r="AA20" s="74">
        <v>33</v>
      </c>
      <c r="AB20" s="74">
        <f t="shared" si="6"/>
        <v>123</v>
      </c>
      <c r="AC20" s="74">
        <f t="shared" si="7"/>
        <v>385</v>
      </c>
    </row>
    <row r="21" ht="18.75" spans="1:29">
      <c r="A21" s="76" t="s">
        <v>208</v>
      </c>
      <c r="B21" s="74">
        <v>86</v>
      </c>
      <c r="C21" s="74">
        <v>79</v>
      </c>
      <c r="D21" s="74">
        <v>81</v>
      </c>
      <c r="E21" s="74">
        <v>67</v>
      </c>
      <c r="F21" s="74">
        <v>27</v>
      </c>
      <c r="G21" s="74">
        <f t="shared" si="0"/>
        <v>94</v>
      </c>
      <c r="H21" s="74">
        <f t="shared" si="1"/>
        <v>340</v>
      </c>
      <c r="I21" s="74">
        <v>74</v>
      </c>
      <c r="J21" s="74">
        <v>76</v>
      </c>
      <c r="K21" s="74">
        <v>74</v>
      </c>
      <c r="L21" s="74">
        <v>63</v>
      </c>
      <c r="M21" s="12">
        <v>30</v>
      </c>
      <c r="N21" s="74">
        <f t="shared" si="8"/>
        <v>93</v>
      </c>
      <c r="O21" s="74">
        <f t="shared" si="9"/>
        <v>317</v>
      </c>
      <c r="P21" s="74">
        <v>88</v>
      </c>
      <c r="Q21" s="74">
        <v>64</v>
      </c>
      <c r="R21" s="74">
        <v>78</v>
      </c>
      <c r="S21" s="74">
        <v>55</v>
      </c>
      <c r="T21" s="74">
        <v>37.5</v>
      </c>
      <c r="U21" s="74">
        <f t="shared" si="4"/>
        <v>92.5</v>
      </c>
      <c r="V21" s="74">
        <f t="shared" si="5"/>
        <v>322.5</v>
      </c>
      <c r="W21" s="74">
        <v>88</v>
      </c>
      <c r="X21" s="74">
        <v>75</v>
      </c>
      <c r="Y21" s="74">
        <v>54</v>
      </c>
      <c r="Z21" s="74">
        <v>42</v>
      </c>
      <c r="AA21" s="74">
        <v>34.5</v>
      </c>
      <c r="AB21" s="74">
        <f t="shared" si="6"/>
        <v>76.5</v>
      </c>
      <c r="AC21" s="74">
        <f t="shared" si="7"/>
        <v>293.5</v>
      </c>
    </row>
    <row r="22" ht="18.75" spans="1:29">
      <c r="A22" s="76" t="s">
        <v>209</v>
      </c>
      <c r="B22" s="74">
        <v>78</v>
      </c>
      <c r="C22" s="74">
        <v>70</v>
      </c>
      <c r="D22" s="74">
        <v>62</v>
      </c>
      <c r="E22" s="74">
        <v>66</v>
      </c>
      <c r="F22" s="74">
        <v>28.5</v>
      </c>
      <c r="G22" s="74">
        <f t="shared" si="0"/>
        <v>94.5</v>
      </c>
      <c r="H22" s="74">
        <f t="shared" si="1"/>
        <v>304.5</v>
      </c>
      <c r="I22" s="74">
        <v>58</v>
      </c>
      <c r="J22" s="74">
        <v>57</v>
      </c>
      <c r="K22" s="74">
        <v>58</v>
      </c>
      <c r="L22" s="74">
        <v>25</v>
      </c>
      <c r="M22" s="12">
        <v>35</v>
      </c>
      <c r="N22" s="74">
        <f t="shared" si="8"/>
        <v>60</v>
      </c>
      <c r="O22" s="74">
        <f t="shared" si="9"/>
        <v>233</v>
      </c>
      <c r="P22" s="74">
        <v>64</v>
      </c>
      <c r="Q22" s="74">
        <v>39</v>
      </c>
      <c r="R22" s="74">
        <v>70</v>
      </c>
      <c r="S22" s="74">
        <v>51</v>
      </c>
      <c r="T22" s="74">
        <v>39</v>
      </c>
      <c r="U22" s="74">
        <f t="shared" si="4"/>
        <v>90</v>
      </c>
      <c r="V22" s="74">
        <f t="shared" si="5"/>
        <v>263</v>
      </c>
      <c r="W22" s="74">
        <v>82</v>
      </c>
      <c r="X22" s="74">
        <v>64</v>
      </c>
      <c r="Y22" s="74">
        <v>64</v>
      </c>
      <c r="Z22" s="74">
        <v>54</v>
      </c>
      <c r="AA22" s="74">
        <v>37.5</v>
      </c>
      <c r="AB22" s="74">
        <f t="shared" si="6"/>
        <v>91.5</v>
      </c>
      <c r="AC22" s="74">
        <f t="shared" si="7"/>
        <v>301.5</v>
      </c>
    </row>
    <row r="23" ht="18.75" spans="1:29">
      <c r="A23" s="76" t="s">
        <v>210</v>
      </c>
      <c r="B23" s="74">
        <v>70</v>
      </c>
      <c r="C23" s="74">
        <v>67</v>
      </c>
      <c r="D23" s="74">
        <v>53</v>
      </c>
      <c r="E23" s="74">
        <v>68</v>
      </c>
      <c r="F23" s="74">
        <v>31.5</v>
      </c>
      <c r="G23" s="74">
        <f t="shared" si="0"/>
        <v>99.5</v>
      </c>
      <c r="H23" s="74">
        <f t="shared" si="1"/>
        <v>289.5</v>
      </c>
      <c r="I23" s="14" t="s">
        <v>50</v>
      </c>
      <c r="J23" s="14" t="s">
        <v>50</v>
      </c>
      <c r="K23" s="14" t="s">
        <v>50</v>
      </c>
      <c r="L23" s="14" t="s">
        <v>50</v>
      </c>
      <c r="M23" s="14" t="s">
        <v>50</v>
      </c>
      <c r="N23" s="14" t="s">
        <v>50</v>
      </c>
      <c r="O23" s="14" t="s">
        <v>50</v>
      </c>
      <c r="P23" s="74">
        <v>72</v>
      </c>
      <c r="Q23" s="14">
        <v>67</v>
      </c>
      <c r="R23" s="74">
        <v>48</v>
      </c>
      <c r="S23" s="74">
        <v>37</v>
      </c>
      <c r="T23" s="74">
        <v>27</v>
      </c>
      <c r="U23" s="74">
        <f t="shared" si="4"/>
        <v>64</v>
      </c>
      <c r="V23" s="74">
        <f t="shared" si="5"/>
        <v>251</v>
      </c>
      <c r="W23" s="74">
        <v>64</v>
      </c>
      <c r="X23" s="74">
        <v>64</v>
      </c>
      <c r="Y23" s="74">
        <v>46</v>
      </c>
      <c r="Z23" s="74">
        <v>56</v>
      </c>
      <c r="AA23" s="74">
        <v>33</v>
      </c>
      <c r="AB23" s="74">
        <f t="shared" si="6"/>
        <v>89</v>
      </c>
      <c r="AC23" s="74">
        <f t="shared" si="7"/>
        <v>263</v>
      </c>
    </row>
    <row r="24" ht="18.75" spans="1:29">
      <c r="A24" s="76" t="s">
        <v>211</v>
      </c>
      <c r="B24" s="14" t="s">
        <v>14</v>
      </c>
      <c r="C24" s="14" t="s">
        <v>14</v>
      </c>
      <c r="D24" s="14" t="s">
        <v>14</v>
      </c>
      <c r="E24" s="14" t="s">
        <v>14</v>
      </c>
      <c r="F24" s="14" t="s">
        <v>14</v>
      </c>
      <c r="G24" s="14" t="s">
        <v>14</v>
      </c>
      <c r="H24" s="14" t="s">
        <v>14</v>
      </c>
      <c r="I24" s="14" t="s">
        <v>50</v>
      </c>
      <c r="J24" s="14" t="s">
        <v>50</v>
      </c>
      <c r="K24" s="14" t="s">
        <v>50</v>
      </c>
      <c r="L24" s="14" t="s">
        <v>50</v>
      </c>
      <c r="M24" s="14" t="s">
        <v>50</v>
      </c>
      <c r="N24" s="14" t="s">
        <v>50</v>
      </c>
      <c r="O24" s="14" t="s">
        <v>50</v>
      </c>
      <c r="P24" s="14" t="s">
        <v>14</v>
      </c>
      <c r="Q24" s="14" t="s">
        <v>14</v>
      </c>
      <c r="R24" s="14" t="s">
        <v>14</v>
      </c>
      <c r="S24" s="14" t="s">
        <v>14</v>
      </c>
      <c r="T24" s="14" t="s">
        <v>14</v>
      </c>
      <c r="U24" s="14" t="s">
        <v>14</v>
      </c>
      <c r="V24" s="14" t="s">
        <v>14</v>
      </c>
      <c r="W24" s="14" t="s">
        <v>14</v>
      </c>
      <c r="X24" s="14" t="s">
        <v>14</v>
      </c>
      <c r="Y24" s="14" t="s">
        <v>14</v>
      </c>
      <c r="Z24" s="14" t="s">
        <v>14</v>
      </c>
      <c r="AA24" s="14" t="s">
        <v>14</v>
      </c>
      <c r="AB24" s="14" t="s">
        <v>14</v>
      </c>
      <c r="AC24" s="14" t="s">
        <v>14</v>
      </c>
    </row>
    <row r="25" ht="18.75" spans="1:29">
      <c r="A25" s="76" t="s">
        <v>212</v>
      </c>
      <c r="B25" s="74">
        <v>68</v>
      </c>
      <c r="C25" s="14">
        <v>81</v>
      </c>
      <c r="D25" s="74">
        <v>76</v>
      </c>
      <c r="E25" s="74">
        <v>92</v>
      </c>
      <c r="F25" s="74">
        <v>31.5</v>
      </c>
      <c r="G25" s="74">
        <f t="shared" ref="G25:G29" si="10">SUM(E25,F25)</f>
        <v>123.5</v>
      </c>
      <c r="H25" s="74">
        <f t="shared" ref="H25:H29" si="11">SUM(B25,C25,D25,G25)</f>
        <v>348.5</v>
      </c>
      <c r="I25" s="14" t="s">
        <v>50</v>
      </c>
      <c r="J25" s="14" t="s">
        <v>50</v>
      </c>
      <c r="K25" s="14" t="s">
        <v>50</v>
      </c>
      <c r="L25" s="14" t="s">
        <v>50</v>
      </c>
      <c r="M25" s="14" t="s">
        <v>50</v>
      </c>
      <c r="N25" s="14" t="s">
        <v>50</v>
      </c>
      <c r="O25" s="14" t="s">
        <v>50</v>
      </c>
      <c r="P25" s="74">
        <v>68</v>
      </c>
      <c r="Q25" s="14">
        <v>85</v>
      </c>
      <c r="R25" s="74">
        <v>72</v>
      </c>
      <c r="S25" s="74">
        <v>61</v>
      </c>
      <c r="T25" s="74">
        <v>36</v>
      </c>
      <c r="U25" s="74">
        <f t="shared" si="4"/>
        <v>97</v>
      </c>
      <c r="V25" s="74">
        <f t="shared" si="5"/>
        <v>322</v>
      </c>
      <c r="W25" s="74">
        <v>72</v>
      </c>
      <c r="X25" s="14">
        <v>89</v>
      </c>
      <c r="Y25" s="74">
        <v>72</v>
      </c>
      <c r="Z25" s="74">
        <v>72</v>
      </c>
      <c r="AA25" s="74">
        <v>31.5</v>
      </c>
      <c r="AB25" s="74">
        <f t="shared" si="6"/>
        <v>103.5</v>
      </c>
      <c r="AC25" s="74">
        <f t="shared" si="7"/>
        <v>336.5</v>
      </c>
    </row>
    <row r="26" ht="18.75" spans="1:29">
      <c r="A26" s="76" t="s">
        <v>213</v>
      </c>
      <c r="B26" s="14" t="s">
        <v>214</v>
      </c>
      <c r="C26" s="14" t="s">
        <v>214</v>
      </c>
      <c r="D26" s="14" t="s">
        <v>214</v>
      </c>
      <c r="E26" s="14" t="s">
        <v>214</v>
      </c>
      <c r="F26" s="14" t="s">
        <v>214</v>
      </c>
      <c r="G26" s="14" t="s">
        <v>214</v>
      </c>
      <c r="H26" s="14" t="s">
        <v>214</v>
      </c>
      <c r="I26" s="74">
        <v>48</v>
      </c>
      <c r="J26" s="74">
        <v>34</v>
      </c>
      <c r="K26" s="74">
        <v>46</v>
      </c>
      <c r="L26" s="74">
        <v>38</v>
      </c>
      <c r="M26" s="12">
        <v>32</v>
      </c>
      <c r="N26" s="74">
        <f t="shared" ref="N26:N32" si="12">SUM(L26,M26)</f>
        <v>70</v>
      </c>
      <c r="O26" s="74">
        <f t="shared" ref="O26:O32" si="13">SUM(I26,J26,K26,N26)</f>
        <v>198</v>
      </c>
      <c r="P26" s="74">
        <v>60</v>
      </c>
      <c r="Q26" s="74">
        <v>49</v>
      </c>
      <c r="R26" s="74">
        <v>52</v>
      </c>
      <c r="S26" s="74">
        <v>42</v>
      </c>
      <c r="T26" s="74">
        <v>30</v>
      </c>
      <c r="U26" s="74">
        <f t="shared" si="4"/>
        <v>72</v>
      </c>
      <c r="V26" s="74">
        <f t="shared" si="5"/>
        <v>233</v>
      </c>
      <c r="W26" s="74">
        <v>54</v>
      </c>
      <c r="X26" s="74">
        <v>66</v>
      </c>
      <c r="Y26" s="74">
        <v>38</v>
      </c>
      <c r="Z26" s="74">
        <v>54</v>
      </c>
      <c r="AA26" s="14">
        <v>31.5</v>
      </c>
      <c r="AB26" s="74">
        <f t="shared" si="6"/>
        <v>85.5</v>
      </c>
      <c r="AC26" s="74">
        <f t="shared" si="7"/>
        <v>243.5</v>
      </c>
    </row>
    <row r="27" ht="18.75" spans="1:29">
      <c r="A27" s="76" t="s">
        <v>215</v>
      </c>
      <c r="B27" s="74">
        <v>86</v>
      </c>
      <c r="C27" s="74">
        <v>78</v>
      </c>
      <c r="D27" s="74">
        <v>66</v>
      </c>
      <c r="E27" s="74">
        <v>83</v>
      </c>
      <c r="F27" s="74">
        <v>31.5</v>
      </c>
      <c r="G27" s="74">
        <f t="shared" si="10"/>
        <v>114.5</v>
      </c>
      <c r="H27" s="74">
        <f t="shared" si="11"/>
        <v>344.5</v>
      </c>
      <c r="I27" s="74">
        <v>64</v>
      </c>
      <c r="J27" s="74"/>
      <c r="K27" s="74">
        <v>66</v>
      </c>
      <c r="L27" s="74">
        <v>55</v>
      </c>
      <c r="M27" s="12">
        <v>29</v>
      </c>
      <c r="N27" s="74">
        <f t="shared" si="12"/>
        <v>84</v>
      </c>
      <c r="O27" s="74">
        <f t="shared" si="13"/>
        <v>214</v>
      </c>
      <c r="P27" s="74">
        <v>74</v>
      </c>
      <c r="Q27" s="74">
        <v>77</v>
      </c>
      <c r="R27" s="74">
        <v>92</v>
      </c>
      <c r="S27" s="74">
        <v>41</v>
      </c>
      <c r="T27" s="74">
        <v>30</v>
      </c>
      <c r="U27" s="74">
        <f t="shared" si="4"/>
        <v>71</v>
      </c>
      <c r="V27" s="74">
        <f t="shared" si="5"/>
        <v>314</v>
      </c>
      <c r="W27" s="74">
        <v>80</v>
      </c>
      <c r="X27" s="74">
        <v>77</v>
      </c>
      <c r="Y27" s="74">
        <v>56</v>
      </c>
      <c r="Z27" s="74">
        <v>64</v>
      </c>
      <c r="AA27" s="74">
        <v>25.5</v>
      </c>
      <c r="AB27" s="74">
        <f t="shared" si="6"/>
        <v>89.5</v>
      </c>
      <c r="AC27" s="74">
        <f t="shared" si="7"/>
        <v>302.5</v>
      </c>
    </row>
    <row r="28" ht="18.75" spans="1:29">
      <c r="A28" s="76" t="s">
        <v>216</v>
      </c>
      <c r="B28" s="74">
        <v>72</v>
      </c>
      <c r="C28" s="74">
        <v>97</v>
      </c>
      <c r="D28" s="74">
        <v>62</v>
      </c>
      <c r="E28" s="74">
        <v>96</v>
      </c>
      <c r="F28" s="74">
        <v>27</v>
      </c>
      <c r="G28" s="74">
        <f t="shared" si="10"/>
        <v>123</v>
      </c>
      <c r="H28" s="74">
        <f t="shared" si="11"/>
        <v>354</v>
      </c>
      <c r="I28" s="74">
        <v>70</v>
      </c>
      <c r="J28" s="74">
        <v>100</v>
      </c>
      <c r="K28" s="74">
        <v>72</v>
      </c>
      <c r="L28" s="74">
        <v>62</v>
      </c>
      <c r="M28" s="12">
        <v>29</v>
      </c>
      <c r="N28" s="74">
        <f t="shared" si="12"/>
        <v>91</v>
      </c>
      <c r="O28" s="74">
        <f t="shared" si="13"/>
        <v>333</v>
      </c>
      <c r="P28" s="74">
        <v>72</v>
      </c>
      <c r="Q28" s="74">
        <v>78</v>
      </c>
      <c r="R28" s="74">
        <v>86</v>
      </c>
      <c r="S28" s="74">
        <v>75</v>
      </c>
      <c r="T28" s="74">
        <v>36</v>
      </c>
      <c r="U28" s="74">
        <f t="shared" si="4"/>
        <v>111</v>
      </c>
      <c r="V28" s="74">
        <f t="shared" si="5"/>
        <v>347</v>
      </c>
      <c r="W28" s="74">
        <v>82</v>
      </c>
      <c r="X28" s="74">
        <v>88</v>
      </c>
      <c r="Y28" s="74">
        <v>64</v>
      </c>
      <c r="Z28" s="74">
        <v>59</v>
      </c>
      <c r="AA28" s="74">
        <v>30</v>
      </c>
      <c r="AB28" s="74">
        <f t="shared" si="6"/>
        <v>89</v>
      </c>
      <c r="AC28" s="74">
        <f t="shared" si="7"/>
        <v>323</v>
      </c>
    </row>
    <row r="29" ht="18.75" spans="1:29">
      <c r="A29" s="76" t="s">
        <v>217</v>
      </c>
      <c r="B29" s="74">
        <v>72</v>
      </c>
      <c r="C29" s="74">
        <v>86</v>
      </c>
      <c r="D29" s="74">
        <v>69</v>
      </c>
      <c r="E29" s="74">
        <v>84</v>
      </c>
      <c r="F29" s="74">
        <v>27</v>
      </c>
      <c r="G29" s="74">
        <f t="shared" si="10"/>
        <v>111</v>
      </c>
      <c r="H29" s="74">
        <f t="shared" si="11"/>
        <v>338</v>
      </c>
      <c r="I29" s="74">
        <v>66</v>
      </c>
      <c r="J29" s="74">
        <v>86</v>
      </c>
      <c r="K29" s="74">
        <v>76</v>
      </c>
      <c r="L29" s="74">
        <v>56</v>
      </c>
      <c r="M29" s="12">
        <v>30</v>
      </c>
      <c r="N29" s="74">
        <f t="shared" si="12"/>
        <v>86</v>
      </c>
      <c r="O29" s="74">
        <f t="shared" si="13"/>
        <v>314</v>
      </c>
      <c r="P29" s="14" t="s">
        <v>14</v>
      </c>
      <c r="Q29" s="14" t="s">
        <v>14</v>
      </c>
      <c r="R29" s="14" t="s">
        <v>14</v>
      </c>
      <c r="S29" s="14" t="s">
        <v>14</v>
      </c>
      <c r="T29" s="14" t="s">
        <v>14</v>
      </c>
      <c r="U29" s="14" t="s">
        <v>14</v>
      </c>
      <c r="V29" s="14" t="s">
        <v>14</v>
      </c>
      <c r="W29" s="14" t="s">
        <v>14</v>
      </c>
      <c r="X29" s="14" t="s">
        <v>14</v>
      </c>
      <c r="Y29" s="14" t="s">
        <v>14</v>
      </c>
      <c r="Z29" s="14" t="s">
        <v>14</v>
      </c>
      <c r="AA29" s="14" t="s">
        <v>14</v>
      </c>
      <c r="AB29" s="14" t="s">
        <v>14</v>
      </c>
      <c r="AC29" s="14" t="s">
        <v>14</v>
      </c>
    </row>
    <row r="30" ht="18.75" spans="1:29">
      <c r="A30" s="76" t="s">
        <v>218</v>
      </c>
      <c r="B30" s="14" t="s">
        <v>14</v>
      </c>
      <c r="C30" s="14" t="s">
        <v>14</v>
      </c>
      <c r="D30" s="14" t="s">
        <v>14</v>
      </c>
      <c r="E30" s="14" t="s">
        <v>14</v>
      </c>
      <c r="F30" s="14" t="s">
        <v>14</v>
      </c>
      <c r="G30" s="14" t="s">
        <v>14</v>
      </c>
      <c r="H30" s="14" t="s">
        <v>14</v>
      </c>
      <c r="I30" s="74">
        <v>76</v>
      </c>
      <c r="J30" s="74">
        <v>80</v>
      </c>
      <c r="K30" s="74">
        <v>60</v>
      </c>
      <c r="L30" s="74">
        <v>64</v>
      </c>
      <c r="M30" s="12">
        <v>35</v>
      </c>
      <c r="N30" s="74">
        <f t="shared" si="12"/>
        <v>99</v>
      </c>
      <c r="O30" s="74">
        <f t="shared" si="13"/>
        <v>315</v>
      </c>
      <c r="P30" s="74">
        <v>82</v>
      </c>
      <c r="Q30" s="74">
        <v>52</v>
      </c>
      <c r="R30" s="74">
        <v>74</v>
      </c>
      <c r="S30" s="74">
        <v>50</v>
      </c>
      <c r="T30" s="74">
        <v>28.5</v>
      </c>
      <c r="U30" s="74">
        <f t="shared" si="4"/>
        <v>78.5</v>
      </c>
      <c r="V30" s="74">
        <f t="shared" si="5"/>
        <v>286.5</v>
      </c>
      <c r="W30" s="74">
        <v>88</v>
      </c>
      <c r="X30" s="74">
        <v>67</v>
      </c>
      <c r="Y30" s="74">
        <v>66</v>
      </c>
      <c r="Z30" s="74">
        <v>62</v>
      </c>
      <c r="AA30" s="74">
        <v>34.5</v>
      </c>
      <c r="AB30" s="74">
        <f t="shared" si="6"/>
        <v>96.5</v>
      </c>
      <c r="AC30" s="74">
        <f t="shared" si="7"/>
        <v>317.5</v>
      </c>
    </row>
    <row r="31" ht="18.75" spans="1:29">
      <c r="A31" s="76" t="s">
        <v>219</v>
      </c>
      <c r="B31" s="74">
        <v>80</v>
      </c>
      <c r="C31" s="74">
        <v>96</v>
      </c>
      <c r="D31" s="74">
        <v>57</v>
      </c>
      <c r="E31" s="74">
        <v>88</v>
      </c>
      <c r="F31" s="74">
        <v>27</v>
      </c>
      <c r="G31" s="74">
        <f t="shared" ref="G31:G39" si="14">SUM(E31,F31)</f>
        <v>115</v>
      </c>
      <c r="H31" s="74">
        <f t="shared" ref="H31:H39" si="15">SUM(B31,C31,D31,G31)</f>
        <v>348</v>
      </c>
      <c r="I31" s="74">
        <v>76</v>
      </c>
      <c r="J31" s="74">
        <v>94</v>
      </c>
      <c r="K31" s="74">
        <v>60</v>
      </c>
      <c r="L31" s="74">
        <v>66</v>
      </c>
      <c r="M31" s="12">
        <v>33</v>
      </c>
      <c r="N31" s="74">
        <f t="shared" si="12"/>
        <v>99</v>
      </c>
      <c r="O31" s="74">
        <f t="shared" si="13"/>
        <v>329</v>
      </c>
      <c r="P31" s="74">
        <v>78</v>
      </c>
      <c r="Q31" s="74">
        <v>85</v>
      </c>
      <c r="R31" s="74">
        <v>82</v>
      </c>
      <c r="S31" s="74">
        <v>70</v>
      </c>
      <c r="T31" s="74">
        <v>34.5</v>
      </c>
      <c r="U31" s="74">
        <f t="shared" si="4"/>
        <v>104.5</v>
      </c>
      <c r="V31" s="74">
        <f t="shared" si="5"/>
        <v>349.5</v>
      </c>
      <c r="W31" s="14" t="s">
        <v>14</v>
      </c>
      <c r="X31" s="14" t="s">
        <v>14</v>
      </c>
      <c r="Y31" s="14" t="s">
        <v>14</v>
      </c>
      <c r="Z31" s="14" t="s">
        <v>14</v>
      </c>
      <c r="AA31" s="14" t="s">
        <v>14</v>
      </c>
      <c r="AB31" s="14" t="s">
        <v>14</v>
      </c>
      <c r="AC31" s="14" t="s">
        <v>14</v>
      </c>
    </row>
    <row r="32" ht="18.75" spans="1:29">
      <c r="A32" s="76" t="s">
        <v>220</v>
      </c>
      <c r="B32" s="74">
        <v>50</v>
      </c>
      <c r="C32" s="74">
        <v>35</v>
      </c>
      <c r="D32" s="74">
        <v>55</v>
      </c>
      <c r="E32" s="74">
        <v>62</v>
      </c>
      <c r="F32" s="74">
        <v>34.5</v>
      </c>
      <c r="G32" s="74">
        <f t="shared" si="14"/>
        <v>96.5</v>
      </c>
      <c r="H32" s="74">
        <f t="shared" si="15"/>
        <v>236.5</v>
      </c>
      <c r="I32" s="74">
        <v>52</v>
      </c>
      <c r="J32" s="74">
        <v>34</v>
      </c>
      <c r="K32" s="74">
        <v>62</v>
      </c>
      <c r="L32" s="74">
        <v>20</v>
      </c>
      <c r="M32" s="12">
        <v>30</v>
      </c>
      <c r="N32" s="74">
        <f t="shared" si="12"/>
        <v>50</v>
      </c>
      <c r="O32" s="74">
        <f t="shared" si="13"/>
        <v>198</v>
      </c>
      <c r="P32" s="14" t="s">
        <v>14</v>
      </c>
      <c r="Q32" s="14" t="s">
        <v>14</v>
      </c>
      <c r="R32" s="14" t="s">
        <v>14</v>
      </c>
      <c r="S32" s="14" t="s">
        <v>14</v>
      </c>
      <c r="T32" s="14" t="s">
        <v>14</v>
      </c>
      <c r="U32" s="14" t="s">
        <v>14</v>
      </c>
      <c r="V32" s="14" t="s">
        <v>14</v>
      </c>
      <c r="W32" s="74">
        <v>64</v>
      </c>
      <c r="X32" s="74">
        <v>68</v>
      </c>
      <c r="Y32" s="74">
        <v>48</v>
      </c>
      <c r="Z32" s="74">
        <v>53</v>
      </c>
      <c r="AA32" s="74">
        <v>37.5</v>
      </c>
      <c r="AB32" s="74">
        <f t="shared" si="6"/>
        <v>90.5</v>
      </c>
      <c r="AC32" s="74">
        <f t="shared" si="7"/>
        <v>270.5</v>
      </c>
    </row>
    <row r="33" ht="18.75" spans="1:29">
      <c r="A33" s="76" t="s">
        <v>221</v>
      </c>
      <c r="B33" s="74">
        <v>66</v>
      </c>
      <c r="C33" s="74">
        <v>38</v>
      </c>
      <c r="D33" s="74">
        <v>65</v>
      </c>
      <c r="E33" s="74">
        <v>50</v>
      </c>
      <c r="F33" s="74">
        <v>28.5</v>
      </c>
      <c r="G33" s="74">
        <f t="shared" si="14"/>
        <v>78.5</v>
      </c>
      <c r="H33" s="74">
        <f t="shared" si="15"/>
        <v>247.5</v>
      </c>
      <c r="I33" s="14" t="s">
        <v>50</v>
      </c>
      <c r="J33" s="14" t="s">
        <v>50</v>
      </c>
      <c r="K33" s="14" t="s">
        <v>50</v>
      </c>
      <c r="L33" s="14" t="s">
        <v>50</v>
      </c>
      <c r="M33" s="14" t="s">
        <v>50</v>
      </c>
      <c r="N33" s="14" t="s">
        <v>50</v>
      </c>
      <c r="O33" s="14" t="s">
        <v>50</v>
      </c>
      <c r="P33" s="74">
        <v>50</v>
      </c>
      <c r="Q33" s="14">
        <v>34</v>
      </c>
      <c r="R33" s="74">
        <v>56</v>
      </c>
      <c r="S33" s="74">
        <v>53</v>
      </c>
      <c r="T33" s="74">
        <v>34.5</v>
      </c>
      <c r="U33" s="74">
        <f t="shared" si="4"/>
        <v>87.5</v>
      </c>
      <c r="V33" s="74">
        <f t="shared" si="5"/>
        <v>227.5</v>
      </c>
      <c r="W33" s="74">
        <v>66</v>
      </c>
      <c r="X33" s="74">
        <v>64</v>
      </c>
      <c r="Y33" s="74">
        <v>52</v>
      </c>
      <c r="Z33" s="74">
        <v>50</v>
      </c>
      <c r="AA33" s="74">
        <v>33</v>
      </c>
      <c r="AB33" s="74">
        <f t="shared" si="6"/>
        <v>83</v>
      </c>
      <c r="AC33" s="74">
        <f t="shared" si="7"/>
        <v>265</v>
      </c>
    </row>
    <row r="34" ht="18.75" spans="1:29">
      <c r="A34" s="76" t="s">
        <v>222</v>
      </c>
      <c r="B34" s="74">
        <v>68</v>
      </c>
      <c r="C34" s="74">
        <v>50</v>
      </c>
      <c r="D34" s="74">
        <v>61</v>
      </c>
      <c r="E34" s="74">
        <v>56</v>
      </c>
      <c r="F34" s="74">
        <v>27</v>
      </c>
      <c r="G34" s="74">
        <f t="shared" si="14"/>
        <v>83</v>
      </c>
      <c r="H34" s="74">
        <f t="shared" si="15"/>
        <v>262</v>
      </c>
      <c r="I34" s="74">
        <v>54</v>
      </c>
      <c r="J34" s="74">
        <v>48</v>
      </c>
      <c r="K34" s="74">
        <v>64</v>
      </c>
      <c r="L34" s="74">
        <v>25</v>
      </c>
      <c r="M34" s="12">
        <v>27</v>
      </c>
      <c r="N34" s="74">
        <f t="shared" ref="N34:N45" si="16">SUM(L34,M34)</f>
        <v>52</v>
      </c>
      <c r="O34" s="74">
        <f t="shared" ref="O34:O45" si="17">SUM(I34,J34,K34,N34)</f>
        <v>218</v>
      </c>
      <c r="P34" s="74">
        <v>60</v>
      </c>
      <c r="Q34" s="74">
        <v>36</v>
      </c>
      <c r="R34" s="74">
        <v>64</v>
      </c>
      <c r="S34" s="74">
        <v>38</v>
      </c>
      <c r="T34" s="74">
        <v>30</v>
      </c>
      <c r="U34" s="74">
        <f t="shared" si="4"/>
        <v>68</v>
      </c>
      <c r="V34" s="74">
        <f t="shared" si="5"/>
        <v>228</v>
      </c>
      <c r="W34" s="74">
        <v>76</v>
      </c>
      <c r="X34" s="74">
        <v>55</v>
      </c>
      <c r="Y34" s="74">
        <v>54</v>
      </c>
      <c r="Z34" s="74">
        <v>34</v>
      </c>
      <c r="AA34" s="74">
        <v>34.5</v>
      </c>
      <c r="AB34" s="74">
        <f t="shared" si="6"/>
        <v>68.5</v>
      </c>
      <c r="AC34" s="74">
        <f t="shared" si="7"/>
        <v>253.5</v>
      </c>
    </row>
    <row r="35" ht="18.75" spans="1:29">
      <c r="A35" s="76" t="s">
        <v>223</v>
      </c>
      <c r="B35" s="74">
        <v>66</v>
      </c>
      <c r="C35" s="74">
        <v>87</v>
      </c>
      <c r="D35" s="74">
        <v>73</v>
      </c>
      <c r="E35" s="74">
        <v>83</v>
      </c>
      <c r="F35" s="74">
        <v>31.5</v>
      </c>
      <c r="G35" s="74">
        <f t="shared" si="14"/>
        <v>114.5</v>
      </c>
      <c r="H35" s="74">
        <f t="shared" si="15"/>
        <v>340.5</v>
      </c>
      <c r="I35" s="74">
        <v>58</v>
      </c>
      <c r="J35" s="74">
        <v>97</v>
      </c>
      <c r="K35" s="74">
        <v>72</v>
      </c>
      <c r="L35" s="74">
        <v>76</v>
      </c>
      <c r="M35" s="12">
        <v>32</v>
      </c>
      <c r="N35" s="74">
        <f t="shared" si="16"/>
        <v>108</v>
      </c>
      <c r="O35" s="74">
        <f t="shared" si="17"/>
        <v>335</v>
      </c>
      <c r="P35" s="14" t="s">
        <v>14</v>
      </c>
      <c r="Q35" s="14" t="s">
        <v>14</v>
      </c>
      <c r="R35" s="14" t="s">
        <v>14</v>
      </c>
      <c r="S35" s="14" t="s">
        <v>14</v>
      </c>
      <c r="T35" s="14" t="s">
        <v>14</v>
      </c>
      <c r="U35" s="14" t="s">
        <v>14</v>
      </c>
      <c r="V35" s="14" t="s">
        <v>14</v>
      </c>
      <c r="W35" s="74">
        <v>74</v>
      </c>
      <c r="X35" s="74">
        <v>80</v>
      </c>
      <c r="Y35" s="74">
        <v>44</v>
      </c>
      <c r="Z35" s="74">
        <v>77</v>
      </c>
      <c r="AA35" s="74">
        <v>28.5</v>
      </c>
      <c r="AB35" s="74">
        <f t="shared" si="6"/>
        <v>105.5</v>
      </c>
      <c r="AC35" s="74">
        <f t="shared" si="7"/>
        <v>303.5</v>
      </c>
    </row>
    <row r="36" ht="18.75" spans="1:29">
      <c r="A36" s="76" t="s">
        <v>224</v>
      </c>
      <c r="B36" s="74">
        <v>74</v>
      </c>
      <c r="C36" s="74">
        <v>51</v>
      </c>
      <c r="D36" s="74">
        <v>65</v>
      </c>
      <c r="E36" s="74">
        <v>54</v>
      </c>
      <c r="F36" s="74">
        <v>22.5</v>
      </c>
      <c r="G36" s="74">
        <f t="shared" si="14"/>
        <v>76.5</v>
      </c>
      <c r="H36" s="74">
        <f t="shared" si="15"/>
        <v>266.5</v>
      </c>
      <c r="I36" s="14" t="s">
        <v>50</v>
      </c>
      <c r="J36" s="14" t="s">
        <v>50</v>
      </c>
      <c r="K36" s="14" t="s">
        <v>50</v>
      </c>
      <c r="L36" s="14" t="s">
        <v>50</v>
      </c>
      <c r="M36" s="14" t="s">
        <v>50</v>
      </c>
      <c r="N36" s="14" t="s">
        <v>50</v>
      </c>
      <c r="O36" s="14" t="s">
        <v>50</v>
      </c>
      <c r="P36" s="74">
        <v>70</v>
      </c>
      <c r="Q36" s="14">
        <v>23</v>
      </c>
      <c r="R36" s="74">
        <v>56</v>
      </c>
      <c r="S36" s="74">
        <v>50</v>
      </c>
      <c r="T36" s="74">
        <v>30</v>
      </c>
      <c r="U36" s="74">
        <f t="shared" si="4"/>
        <v>80</v>
      </c>
      <c r="V36" s="74">
        <f t="shared" si="5"/>
        <v>229</v>
      </c>
      <c r="W36" s="74">
        <v>60</v>
      </c>
      <c r="X36" s="74">
        <v>46</v>
      </c>
      <c r="Y36" s="74">
        <v>50</v>
      </c>
      <c r="Z36" s="74">
        <v>50</v>
      </c>
      <c r="AA36" s="74">
        <v>31.5</v>
      </c>
      <c r="AB36" s="74">
        <f t="shared" si="6"/>
        <v>81.5</v>
      </c>
      <c r="AC36" s="74">
        <f t="shared" si="7"/>
        <v>237.5</v>
      </c>
    </row>
    <row r="37" ht="18.75" spans="1:29">
      <c r="A37" s="76" t="s">
        <v>225</v>
      </c>
      <c r="B37" s="74">
        <v>64</v>
      </c>
      <c r="C37" s="74">
        <v>67</v>
      </c>
      <c r="D37" s="74">
        <v>58</v>
      </c>
      <c r="E37" s="74">
        <v>66</v>
      </c>
      <c r="F37" s="74">
        <v>31.5</v>
      </c>
      <c r="G37" s="74">
        <f t="shared" si="14"/>
        <v>97.5</v>
      </c>
      <c r="H37" s="74">
        <f t="shared" si="15"/>
        <v>286.5</v>
      </c>
      <c r="I37" s="74">
        <v>68</v>
      </c>
      <c r="J37" s="74">
        <v>93</v>
      </c>
      <c r="K37" s="74">
        <v>52</v>
      </c>
      <c r="L37" s="74">
        <v>39</v>
      </c>
      <c r="M37" s="12">
        <v>29</v>
      </c>
      <c r="N37" s="74">
        <f t="shared" si="16"/>
        <v>68</v>
      </c>
      <c r="O37" s="74">
        <f t="shared" si="17"/>
        <v>281</v>
      </c>
      <c r="P37" s="74">
        <v>68</v>
      </c>
      <c r="Q37" s="74">
        <v>44</v>
      </c>
      <c r="R37" s="74">
        <v>60</v>
      </c>
      <c r="S37" s="74">
        <v>62</v>
      </c>
      <c r="T37" s="74">
        <v>33</v>
      </c>
      <c r="U37" s="74">
        <f t="shared" si="4"/>
        <v>95</v>
      </c>
      <c r="V37" s="74">
        <f t="shared" si="5"/>
        <v>267</v>
      </c>
      <c r="W37" s="74">
        <v>78</v>
      </c>
      <c r="X37" s="74">
        <v>60</v>
      </c>
      <c r="Y37" s="74">
        <v>62</v>
      </c>
      <c r="Z37" s="74">
        <v>53</v>
      </c>
      <c r="AA37" s="74">
        <v>30</v>
      </c>
      <c r="AB37" s="74">
        <f t="shared" si="6"/>
        <v>83</v>
      </c>
      <c r="AC37" s="74">
        <f t="shared" si="7"/>
        <v>283</v>
      </c>
    </row>
    <row r="38" ht="18.75" spans="1:29">
      <c r="A38" s="76" t="s">
        <v>226</v>
      </c>
      <c r="B38" s="74">
        <v>74</v>
      </c>
      <c r="C38" s="74">
        <v>67</v>
      </c>
      <c r="D38" s="74">
        <v>63</v>
      </c>
      <c r="E38" s="74">
        <v>76</v>
      </c>
      <c r="F38" s="74">
        <v>30</v>
      </c>
      <c r="G38" s="74">
        <f t="shared" si="14"/>
        <v>106</v>
      </c>
      <c r="H38" s="74">
        <f t="shared" si="15"/>
        <v>310</v>
      </c>
      <c r="I38" s="74">
        <v>62</v>
      </c>
      <c r="J38" s="74">
        <v>71</v>
      </c>
      <c r="K38" s="74">
        <v>68</v>
      </c>
      <c r="L38" s="74">
        <v>55</v>
      </c>
      <c r="M38" s="12">
        <v>32</v>
      </c>
      <c r="N38" s="74">
        <f t="shared" si="16"/>
        <v>87</v>
      </c>
      <c r="O38" s="74">
        <f t="shared" si="17"/>
        <v>288</v>
      </c>
      <c r="P38" s="74">
        <v>88</v>
      </c>
      <c r="Q38" s="74">
        <v>62</v>
      </c>
      <c r="R38" s="74">
        <v>72</v>
      </c>
      <c r="S38" s="74">
        <v>44</v>
      </c>
      <c r="T38" s="74">
        <v>31.5</v>
      </c>
      <c r="U38" s="74">
        <f t="shared" si="4"/>
        <v>75.5</v>
      </c>
      <c r="V38" s="74">
        <f t="shared" si="5"/>
        <v>297.5</v>
      </c>
      <c r="W38" s="74">
        <v>80</v>
      </c>
      <c r="X38" s="74">
        <v>72</v>
      </c>
      <c r="Y38" s="74">
        <v>70</v>
      </c>
      <c r="Z38" s="74">
        <v>59</v>
      </c>
      <c r="AA38" s="74">
        <v>33</v>
      </c>
      <c r="AB38" s="74">
        <f t="shared" si="6"/>
        <v>92</v>
      </c>
      <c r="AC38" s="74">
        <f t="shared" si="7"/>
        <v>314</v>
      </c>
    </row>
    <row r="39" ht="18.75" spans="1:29">
      <c r="A39" s="76" t="s">
        <v>227</v>
      </c>
      <c r="B39" s="74">
        <v>86</v>
      </c>
      <c r="C39" s="74">
        <v>69</v>
      </c>
      <c r="D39" s="74">
        <v>70</v>
      </c>
      <c r="E39" s="74">
        <v>87</v>
      </c>
      <c r="F39" s="74">
        <v>31.5</v>
      </c>
      <c r="G39" s="74">
        <f t="shared" si="14"/>
        <v>118.5</v>
      </c>
      <c r="H39" s="74">
        <f t="shared" si="15"/>
        <v>343.5</v>
      </c>
      <c r="I39" s="74">
        <v>76</v>
      </c>
      <c r="J39" s="74">
        <v>97</v>
      </c>
      <c r="K39" s="74">
        <v>78</v>
      </c>
      <c r="L39" s="74">
        <v>71</v>
      </c>
      <c r="M39" s="12">
        <v>29</v>
      </c>
      <c r="N39" s="74">
        <f t="shared" si="16"/>
        <v>100</v>
      </c>
      <c r="O39" s="74">
        <f t="shared" si="17"/>
        <v>351</v>
      </c>
      <c r="P39" s="74">
        <v>80</v>
      </c>
      <c r="Q39" s="74">
        <v>68</v>
      </c>
      <c r="R39" s="74">
        <v>82</v>
      </c>
      <c r="S39" s="74">
        <v>88</v>
      </c>
      <c r="T39" s="74">
        <v>36</v>
      </c>
      <c r="U39" s="74">
        <f t="shared" si="4"/>
        <v>124</v>
      </c>
      <c r="V39" s="74">
        <f t="shared" si="5"/>
        <v>354</v>
      </c>
      <c r="W39" s="74">
        <v>88</v>
      </c>
      <c r="X39" s="74">
        <v>78</v>
      </c>
      <c r="Y39" s="74">
        <v>70</v>
      </c>
      <c r="Z39" s="74">
        <v>88</v>
      </c>
      <c r="AA39" s="74">
        <v>37.5</v>
      </c>
      <c r="AB39" s="74">
        <f t="shared" si="6"/>
        <v>125.5</v>
      </c>
      <c r="AC39" s="74">
        <f t="shared" si="7"/>
        <v>361.5</v>
      </c>
    </row>
    <row r="40" ht="18.75" spans="1:29">
      <c r="A40" s="76" t="s">
        <v>228</v>
      </c>
      <c r="B40" s="14" t="s">
        <v>14</v>
      </c>
      <c r="C40" s="14" t="s">
        <v>14</v>
      </c>
      <c r="D40" s="14" t="s">
        <v>14</v>
      </c>
      <c r="E40" s="14" t="s">
        <v>14</v>
      </c>
      <c r="F40" s="14" t="s">
        <v>14</v>
      </c>
      <c r="G40" s="14" t="s">
        <v>14</v>
      </c>
      <c r="H40" s="14" t="s">
        <v>14</v>
      </c>
      <c r="I40" s="74">
        <v>56</v>
      </c>
      <c r="J40" s="74">
        <v>83</v>
      </c>
      <c r="K40" s="74">
        <v>62</v>
      </c>
      <c r="L40" s="74">
        <v>40</v>
      </c>
      <c r="M40" s="12">
        <v>35</v>
      </c>
      <c r="N40" s="74">
        <f t="shared" si="16"/>
        <v>75</v>
      </c>
      <c r="O40" s="74">
        <f t="shared" si="17"/>
        <v>276</v>
      </c>
      <c r="P40" s="74">
        <v>72</v>
      </c>
      <c r="Q40" s="74">
        <v>60</v>
      </c>
      <c r="R40" s="74">
        <v>58</v>
      </c>
      <c r="S40" s="74">
        <v>60</v>
      </c>
      <c r="T40" s="74">
        <v>34.5</v>
      </c>
      <c r="U40" s="74">
        <f t="shared" si="4"/>
        <v>94.5</v>
      </c>
      <c r="V40" s="74">
        <f t="shared" si="5"/>
        <v>284.5</v>
      </c>
      <c r="W40" s="74">
        <v>68</v>
      </c>
      <c r="X40" s="74">
        <v>74</v>
      </c>
      <c r="Y40" s="74">
        <v>72</v>
      </c>
      <c r="Z40" s="74">
        <v>58</v>
      </c>
      <c r="AA40" s="74">
        <v>31.5</v>
      </c>
      <c r="AB40" s="74">
        <f t="shared" si="6"/>
        <v>89.5</v>
      </c>
      <c r="AC40" s="74">
        <f t="shared" si="7"/>
        <v>303.5</v>
      </c>
    </row>
    <row r="41" ht="18.75" spans="1:29">
      <c r="A41" s="76" t="s">
        <v>229</v>
      </c>
      <c r="B41" s="74">
        <v>72</v>
      </c>
      <c r="C41" s="74">
        <v>96</v>
      </c>
      <c r="D41" s="74">
        <v>48</v>
      </c>
      <c r="E41" s="74">
        <v>82</v>
      </c>
      <c r="F41" s="74">
        <v>30</v>
      </c>
      <c r="G41" s="74">
        <f t="shared" ref="G41:G45" si="18">SUM(E41,F41)</f>
        <v>112</v>
      </c>
      <c r="H41" s="74">
        <f t="shared" ref="H41:H45" si="19">SUM(B41,C41,D41,G41)</f>
        <v>328</v>
      </c>
      <c r="I41" s="74">
        <v>52</v>
      </c>
      <c r="J41" s="74">
        <v>96</v>
      </c>
      <c r="K41" s="74">
        <v>64</v>
      </c>
      <c r="L41" s="74">
        <v>80</v>
      </c>
      <c r="M41" s="12">
        <v>32</v>
      </c>
      <c r="N41" s="74">
        <f t="shared" si="16"/>
        <v>112</v>
      </c>
      <c r="O41" s="74">
        <f t="shared" si="17"/>
        <v>324</v>
      </c>
      <c r="P41" s="74">
        <v>78</v>
      </c>
      <c r="Q41" s="74">
        <v>85</v>
      </c>
      <c r="R41" s="74">
        <v>82</v>
      </c>
      <c r="S41" s="74">
        <v>62</v>
      </c>
      <c r="T41" s="74">
        <v>36</v>
      </c>
      <c r="U41" s="74">
        <f t="shared" si="4"/>
        <v>98</v>
      </c>
      <c r="V41" s="74">
        <f t="shared" si="5"/>
        <v>343</v>
      </c>
      <c r="W41" s="74">
        <v>72</v>
      </c>
      <c r="X41" s="74">
        <v>93</v>
      </c>
      <c r="Y41" s="74">
        <v>62</v>
      </c>
      <c r="Z41" s="74">
        <v>82</v>
      </c>
      <c r="AA41" s="74">
        <v>37.5</v>
      </c>
      <c r="AB41" s="74">
        <f t="shared" si="6"/>
        <v>119.5</v>
      </c>
      <c r="AC41" s="74">
        <f t="shared" si="7"/>
        <v>346.5</v>
      </c>
    </row>
    <row r="42" ht="18.75" spans="1:29">
      <c r="A42" s="76" t="s">
        <v>230</v>
      </c>
      <c r="B42" s="74">
        <v>54</v>
      </c>
      <c r="C42" s="74">
        <v>36</v>
      </c>
      <c r="D42" s="74">
        <v>63</v>
      </c>
      <c r="E42" s="74">
        <v>84</v>
      </c>
      <c r="F42" s="74">
        <v>27</v>
      </c>
      <c r="G42" s="74">
        <f t="shared" si="18"/>
        <v>111</v>
      </c>
      <c r="H42" s="74">
        <f t="shared" si="19"/>
        <v>264</v>
      </c>
      <c r="I42" s="74">
        <v>58</v>
      </c>
      <c r="J42" s="74">
        <v>63</v>
      </c>
      <c r="K42" s="74">
        <v>70</v>
      </c>
      <c r="L42" s="74">
        <v>59</v>
      </c>
      <c r="M42" s="12">
        <v>30</v>
      </c>
      <c r="N42" s="74">
        <f t="shared" si="16"/>
        <v>89</v>
      </c>
      <c r="O42" s="74">
        <f t="shared" si="17"/>
        <v>280</v>
      </c>
      <c r="P42" s="14" t="s">
        <v>14</v>
      </c>
      <c r="Q42" s="14" t="s">
        <v>14</v>
      </c>
      <c r="R42" s="14" t="s">
        <v>14</v>
      </c>
      <c r="S42" s="14" t="s">
        <v>14</v>
      </c>
      <c r="T42" s="14" t="s">
        <v>14</v>
      </c>
      <c r="U42" s="14" t="s">
        <v>14</v>
      </c>
      <c r="V42" s="14" t="s">
        <v>14</v>
      </c>
      <c r="W42" s="74">
        <v>44</v>
      </c>
      <c r="X42" s="74">
        <v>39</v>
      </c>
      <c r="Y42" s="74">
        <v>56</v>
      </c>
      <c r="Z42" s="74">
        <v>62</v>
      </c>
      <c r="AA42" s="74">
        <v>28.5</v>
      </c>
      <c r="AB42" s="74">
        <f t="shared" si="6"/>
        <v>90.5</v>
      </c>
      <c r="AC42" s="74">
        <f t="shared" si="7"/>
        <v>229.5</v>
      </c>
    </row>
    <row r="43" ht="18.75" spans="1:29">
      <c r="A43" s="76" t="s">
        <v>56</v>
      </c>
      <c r="B43" s="14" t="s">
        <v>14</v>
      </c>
      <c r="C43" s="14" t="s">
        <v>14</v>
      </c>
      <c r="D43" s="14" t="s">
        <v>14</v>
      </c>
      <c r="E43" s="14" t="s">
        <v>14</v>
      </c>
      <c r="F43" s="14" t="s">
        <v>14</v>
      </c>
      <c r="G43" s="14" t="s">
        <v>14</v>
      </c>
      <c r="H43" s="14" t="s">
        <v>14</v>
      </c>
      <c r="I43" s="74">
        <v>64</v>
      </c>
      <c r="J43" s="74">
        <v>89</v>
      </c>
      <c r="K43" s="74">
        <v>40</v>
      </c>
      <c r="L43" s="74">
        <v>74</v>
      </c>
      <c r="M43" s="12">
        <v>35</v>
      </c>
      <c r="N43" s="74">
        <f t="shared" si="16"/>
        <v>109</v>
      </c>
      <c r="O43" s="74">
        <f t="shared" si="17"/>
        <v>302</v>
      </c>
      <c r="P43" s="74">
        <v>80</v>
      </c>
      <c r="Q43" s="74">
        <v>78</v>
      </c>
      <c r="R43" s="74">
        <v>78</v>
      </c>
      <c r="S43" s="74">
        <v>63</v>
      </c>
      <c r="T43" s="74">
        <v>34.5</v>
      </c>
      <c r="U43" s="74">
        <f t="shared" si="4"/>
        <v>97.5</v>
      </c>
      <c r="V43" s="74">
        <f t="shared" si="5"/>
        <v>333.5</v>
      </c>
      <c r="W43" s="74">
        <v>72</v>
      </c>
      <c r="X43" s="74">
        <v>89</v>
      </c>
      <c r="Y43" s="74">
        <v>54</v>
      </c>
      <c r="Z43" s="74">
        <v>74</v>
      </c>
      <c r="AA43" s="74">
        <v>33</v>
      </c>
      <c r="AB43" s="74">
        <f t="shared" si="6"/>
        <v>107</v>
      </c>
      <c r="AC43" s="74">
        <f t="shared" si="7"/>
        <v>322</v>
      </c>
    </row>
    <row r="44" ht="18.75" spans="1:29">
      <c r="A44" s="76" t="s">
        <v>231</v>
      </c>
      <c r="B44" s="74">
        <v>70</v>
      </c>
      <c r="C44" s="74">
        <v>79</v>
      </c>
      <c r="D44" s="74">
        <v>70</v>
      </c>
      <c r="E44" s="74">
        <v>88</v>
      </c>
      <c r="F44" s="74">
        <v>36</v>
      </c>
      <c r="G44" s="74">
        <f t="shared" si="18"/>
        <v>124</v>
      </c>
      <c r="H44" s="74">
        <f t="shared" si="19"/>
        <v>343</v>
      </c>
      <c r="I44" s="74">
        <v>80</v>
      </c>
      <c r="J44" s="74">
        <v>94</v>
      </c>
      <c r="K44" s="74">
        <v>84</v>
      </c>
      <c r="L44" s="74">
        <v>81</v>
      </c>
      <c r="M44" s="12">
        <v>41</v>
      </c>
      <c r="N44" s="74">
        <f t="shared" si="16"/>
        <v>122</v>
      </c>
      <c r="O44" s="74">
        <f t="shared" si="17"/>
        <v>380</v>
      </c>
      <c r="P44" s="14" t="s">
        <v>14</v>
      </c>
      <c r="Q44" s="14" t="s">
        <v>14</v>
      </c>
      <c r="R44" s="14" t="s">
        <v>14</v>
      </c>
      <c r="S44" s="14" t="s">
        <v>14</v>
      </c>
      <c r="T44" s="14" t="s">
        <v>14</v>
      </c>
      <c r="U44" s="14" t="s">
        <v>14</v>
      </c>
      <c r="V44" s="14" t="s">
        <v>14</v>
      </c>
      <c r="W44" s="74">
        <v>90</v>
      </c>
      <c r="X44" s="74">
        <v>68</v>
      </c>
      <c r="Y44" s="74">
        <v>62</v>
      </c>
      <c r="Z44" s="74">
        <v>77</v>
      </c>
      <c r="AA44" s="74">
        <v>39</v>
      </c>
      <c r="AB44" s="74">
        <f t="shared" si="6"/>
        <v>116</v>
      </c>
      <c r="AC44" s="74">
        <f t="shared" si="7"/>
        <v>336</v>
      </c>
    </row>
    <row r="45" ht="18.75" spans="1:29">
      <c r="A45" s="76" t="s">
        <v>232</v>
      </c>
      <c r="B45" s="74">
        <v>76</v>
      </c>
      <c r="C45" s="74">
        <v>91</v>
      </c>
      <c r="D45" s="74">
        <v>59</v>
      </c>
      <c r="E45" s="74">
        <v>84</v>
      </c>
      <c r="F45" s="74">
        <v>28.5</v>
      </c>
      <c r="G45" s="74">
        <f t="shared" si="18"/>
        <v>112.5</v>
      </c>
      <c r="H45" s="74">
        <f t="shared" si="19"/>
        <v>338.5</v>
      </c>
      <c r="I45" s="74">
        <v>70</v>
      </c>
      <c r="J45" s="74">
        <v>89</v>
      </c>
      <c r="K45" s="74">
        <v>72</v>
      </c>
      <c r="L45" s="74">
        <v>66</v>
      </c>
      <c r="M45" s="12">
        <v>36</v>
      </c>
      <c r="N45" s="74">
        <f t="shared" si="16"/>
        <v>102</v>
      </c>
      <c r="O45" s="74">
        <f t="shared" si="17"/>
        <v>333</v>
      </c>
      <c r="P45" s="74">
        <v>80</v>
      </c>
      <c r="Q45" s="74">
        <v>76</v>
      </c>
      <c r="R45" s="74">
        <v>62</v>
      </c>
      <c r="S45" s="74">
        <v>65</v>
      </c>
      <c r="T45" s="74">
        <v>37.5</v>
      </c>
      <c r="U45" s="74">
        <f t="shared" si="4"/>
        <v>102.5</v>
      </c>
      <c r="V45" s="74">
        <f t="shared" si="5"/>
        <v>320.5</v>
      </c>
      <c r="W45" s="74">
        <v>88</v>
      </c>
      <c r="X45" s="74">
        <v>76</v>
      </c>
      <c r="Y45" s="74">
        <v>66</v>
      </c>
      <c r="Z45" s="74">
        <v>75</v>
      </c>
      <c r="AA45" s="74">
        <v>42</v>
      </c>
      <c r="AB45" s="74">
        <f t="shared" si="6"/>
        <v>117</v>
      </c>
      <c r="AC45" s="74">
        <f t="shared" si="7"/>
        <v>347</v>
      </c>
    </row>
    <row r="46" ht="18.75" spans="1:29">
      <c r="A46" s="76" t="s">
        <v>233</v>
      </c>
      <c r="B46" s="74">
        <v>64</v>
      </c>
      <c r="C46" s="74">
        <v>75</v>
      </c>
      <c r="D46" s="74">
        <v>64</v>
      </c>
      <c r="E46" s="74">
        <v>71</v>
      </c>
      <c r="F46" s="74">
        <v>25.5</v>
      </c>
      <c r="G46" s="74">
        <f t="shared" ref="G46:G49" si="20">SUM(E46,F46)</f>
        <v>96.5</v>
      </c>
      <c r="H46" s="74">
        <f t="shared" ref="H46:H49" si="21">SUM(B46,C46,D46,G46)</f>
        <v>299.5</v>
      </c>
      <c r="I46" s="14" t="s">
        <v>50</v>
      </c>
      <c r="J46" s="14" t="s">
        <v>50</v>
      </c>
      <c r="K46" s="14" t="s">
        <v>50</v>
      </c>
      <c r="L46" s="14" t="s">
        <v>50</v>
      </c>
      <c r="M46" s="14" t="s">
        <v>50</v>
      </c>
      <c r="N46" s="14" t="s">
        <v>50</v>
      </c>
      <c r="O46" s="14" t="s">
        <v>50</v>
      </c>
      <c r="P46" s="14" t="s">
        <v>14</v>
      </c>
      <c r="Q46" s="14" t="s">
        <v>14</v>
      </c>
      <c r="R46" s="14" t="s">
        <v>14</v>
      </c>
      <c r="S46" s="14" t="s">
        <v>14</v>
      </c>
      <c r="T46" s="14" t="s">
        <v>14</v>
      </c>
      <c r="U46" s="14" t="s">
        <v>14</v>
      </c>
      <c r="V46" s="14" t="s">
        <v>14</v>
      </c>
      <c r="W46" s="74">
        <v>82</v>
      </c>
      <c r="X46" s="74">
        <v>88</v>
      </c>
      <c r="Y46" s="74">
        <v>58</v>
      </c>
      <c r="Z46" s="74">
        <v>64</v>
      </c>
      <c r="AA46" s="74">
        <v>34.5</v>
      </c>
      <c r="AB46" s="74">
        <f t="shared" si="6"/>
        <v>98.5</v>
      </c>
      <c r="AC46" s="74">
        <f t="shared" si="7"/>
        <v>326.5</v>
      </c>
    </row>
    <row r="47" ht="18.75" spans="1:29">
      <c r="A47" s="77" t="s">
        <v>234</v>
      </c>
      <c r="B47" s="74">
        <v>60</v>
      </c>
      <c r="C47" s="74">
        <v>27</v>
      </c>
      <c r="D47" s="74">
        <v>50</v>
      </c>
      <c r="E47" s="74">
        <v>57</v>
      </c>
      <c r="F47" s="74">
        <v>33</v>
      </c>
      <c r="G47" s="74">
        <f t="shared" si="20"/>
        <v>90</v>
      </c>
      <c r="H47" s="74">
        <f t="shared" si="21"/>
        <v>227</v>
      </c>
      <c r="I47" s="74">
        <v>66</v>
      </c>
      <c r="J47" s="74">
        <v>73</v>
      </c>
      <c r="K47" s="74">
        <v>60</v>
      </c>
      <c r="L47" s="74">
        <v>43</v>
      </c>
      <c r="M47" s="12">
        <v>29</v>
      </c>
      <c r="N47" s="74">
        <f t="shared" ref="N47:N49" si="22">SUM(L47,M47)</f>
        <v>72</v>
      </c>
      <c r="O47" s="74">
        <f t="shared" ref="O47:O49" si="23">SUM(I47,J47,K47,N47)</f>
        <v>271</v>
      </c>
      <c r="P47" s="74">
        <v>78</v>
      </c>
      <c r="Q47" s="74">
        <v>31</v>
      </c>
      <c r="R47" s="74">
        <v>68</v>
      </c>
      <c r="S47" s="74">
        <v>46</v>
      </c>
      <c r="T47" s="74">
        <v>39</v>
      </c>
      <c r="U47" s="74">
        <f>SUM(S47,T47)</f>
        <v>85</v>
      </c>
      <c r="V47" s="74">
        <f>SUM(P47,Q47,R47,U47)</f>
        <v>262</v>
      </c>
      <c r="W47" s="74">
        <v>66</v>
      </c>
      <c r="X47" s="74">
        <v>63</v>
      </c>
      <c r="Y47" s="74">
        <v>56</v>
      </c>
      <c r="Z47" s="74">
        <v>44</v>
      </c>
      <c r="AA47" s="74">
        <v>33</v>
      </c>
      <c r="AB47" s="74">
        <f t="shared" si="6"/>
        <v>77</v>
      </c>
      <c r="AC47" s="74">
        <f t="shared" si="7"/>
        <v>262</v>
      </c>
    </row>
    <row r="48" ht="18.85" customHeight="1" spans="1:29">
      <c r="A48" s="77" t="s">
        <v>235</v>
      </c>
      <c r="B48" s="74">
        <v>48</v>
      </c>
      <c r="C48" s="74">
        <v>42</v>
      </c>
      <c r="D48" s="74">
        <v>44</v>
      </c>
      <c r="E48" s="74">
        <v>66</v>
      </c>
      <c r="F48" s="74">
        <v>24</v>
      </c>
      <c r="G48" s="74">
        <f t="shared" si="20"/>
        <v>90</v>
      </c>
      <c r="H48" s="74">
        <f t="shared" si="21"/>
        <v>224</v>
      </c>
      <c r="I48" s="74">
        <v>56</v>
      </c>
      <c r="J48" s="74">
        <v>45</v>
      </c>
      <c r="K48" s="74">
        <v>44</v>
      </c>
      <c r="L48" s="74">
        <v>44</v>
      </c>
      <c r="M48" s="12">
        <v>29</v>
      </c>
      <c r="N48" s="74">
        <f t="shared" si="22"/>
        <v>73</v>
      </c>
      <c r="O48" s="74">
        <f t="shared" si="23"/>
        <v>218</v>
      </c>
      <c r="P48" s="74">
        <v>62</v>
      </c>
      <c r="Q48" s="74">
        <v>36</v>
      </c>
      <c r="R48" s="74">
        <v>48</v>
      </c>
      <c r="S48" s="74">
        <v>38</v>
      </c>
      <c r="T48" s="74">
        <v>27</v>
      </c>
      <c r="U48" s="74">
        <f>SUM(S48,T48)</f>
        <v>65</v>
      </c>
      <c r="V48" s="74">
        <f>SUM(P48,Q48,R48,U48)</f>
        <v>211</v>
      </c>
      <c r="W48" s="74">
        <v>72</v>
      </c>
      <c r="X48" s="74">
        <v>47</v>
      </c>
      <c r="Y48" s="74">
        <v>56</v>
      </c>
      <c r="Z48" s="74">
        <v>50</v>
      </c>
      <c r="AA48" s="74">
        <v>30</v>
      </c>
      <c r="AB48" s="74">
        <f t="shared" si="6"/>
        <v>80</v>
      </c>
      <c r="AC48" s="74">
        <f t="shared" si="7"/>
        <v>255</v>
      </c>
    </row>
    <row r="49" ht="18.85" customHeight="1" spans="1:29">
      <c r="A49" s="77" t="s">
        <v>236</v>
      </c>
      <c r="B49" s="74">
        <v>60</v>
      </c>
      <c r="C49" s="74">
        <v>65</v>
      </c>
      <c r="D49" s="74">
        <v>55</v>
      </c>
      <c r="E49" s="74">
        <v>70</v>
      </c>
      <c r="F49" s="74">
        <v>33</v>
      </c>
      <c r="G49" s="74">
        <f t="shared" si="20"/>
        <v>103</v>
      </c>
      <c r="H49" s="74">
        <f t="shared" si="21"/>
        <v>283</v>
      </c>
      <c r="I49" s="74">
        <v>66</v>
      </c>
      <c r="J49" s="74">
        <v>62</v>
      </c>
      <c r="K49" s="74">
        <v>64</v>
      </c>
      <c r="L49" s="74">
        <v>58</v>
      </c>
      <c r="M49" s="12">
        <v>36</v>
      </c>
      <c r="N49" s="74">
        <f t="shared" si="22"/>
        <v>94</v>
      </c>
      <c r="O49" s="74">
        <f t="shared" si="23"/>
        <v>286</v>
      </c>
      <c r="P49" s="74">
        <v>66</v>
      </c>
      <c r="Q49" s="74">
        <v>60</v>
      </c>
      <c r="R49" s="74">
        <v>66</v>
      </c>
      <c r="S49" s="74">
        <v>52</v>
      </c>
      <c r="T49" s="74">
        <v>31.5</v>
      </c>
      <c r="U49" s="74">
        <f>SUM(S49,T49)</f>
        <v>83.5</v>
      </c>
      <c r="V49" s="74">
        <f>SUM(P49,Q49,R49,U49)</f>
        <v>275.5</v>
      </c>
      <c r="W49" s="74">
        <v>76</v>
      </c>
      <c r="X49" s="74">
        <v>60</v>
      </c>
      <c r="Y49" s="74">
        <v>50</v>
      </c>
      <c r="Z49" s="74">
        <v>50</v>
      </c>
      <c r="AA49" s="74">
        <v>30</v>
      </c>
      <c r="AB49" s="74">
        <f t="shared" si="6"/>
        <v>80</v>
      </c>
      <c r="AC49" s="74">
        <f t="shared" si="7"/>
        <v>266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4"/>
  <sheetViews>
    <sheetView workbookViewId="0">
      <pane xSplit="1" ySplit="2" topLeftCell="K3" activePane="bottomRight" state="frozen"/>
      <selection/>
      <selection pane="topRight"/>
      <selection pane="bottomLeft"/>
      <selection pane="bottomRight" activeCell="B1" sqref="B1:AG1"/>
    </sheetView>
  </sheetViews>
  <sheetFormatPr defaultColWidth="9.64166666666667" defaultRowHeight="13.5"/>
  <cols>
    <col min="1" max="1" width="8.75" customWidth="1"/>
    <col min="2" max="3" width="5.125" customWidth="1"/>
    <col min="4" max="8" width="8.875" customWidth="1"/>
    <col min="9" max="11" width="5.125" customWidth="1"/>
    <col min="12" max="16" width="8.875" customWidth="1"/>
    <col min="17" max="17" width="8.375" customWidth="1"/>
    <col min="18" max="19" width="5.125" customWidth="1"/>
    <col min="20" max="24" width="8.875" customWidth="1"/>
    <col min="25" max="25" width="6.375" customWidth="1"/>
    <col min="26" max="27" width="5.125" customWidth="1"/>
    <col min="28" max="32" width="8.875" customWidth="1"/>
    <col min="33" max="33" width="6.375" customWidth="1"/>
  </cols>
  <sheetData>
    <row r="1" ht="18.75" spans="1:33">
      <c r="A1" s="4"/>
      <c r="B1" s="53" t="s">
        <v>0</v>
      </c>
      <c r="C1" s="54"/>
      <c r="D1" s="54"/>
      <c r="E1" s="54"/>
      <c r="F1" s="54"/>
      <c r="G1" s="54"/>
      <c r="H1" s="54"/>
      <c r="I1" s="54"/>
      <c r="J1" s="53" t="s">
        <v>1</v>
      </c>
      <c r="K1" s="54"/>
      <c r="L1" s="54"/>
      <c r="M1" s="54"/>
      <c r="N1" s="54"/>
      <c r="O1" s="54"/>
      <c r="P1" s="54"/>
      <c r="Q1" s="54"/>
      <c r="R1" s="53" t="s">
        <v>2</v>
      </c>
      <c r="S1" s="54"/>
      <c r="T1" s="54"/>
      <c r="U1" s="54"/>
      <c r="V1" s="54"/>
      <c r="W1" s="54"/>
      <c r="X1" s="54"/>
      <c r="Y1" s="54"/>
      <c r="Z1" s="53" t="s">
        <v>3</v>
      </c>
      <c r="AA1" s="54"/>
      <c r="AB1" s="54"/>
      <c r="AC1" s="54"/>
      <c r="AD1" s="54"/>
      <c r="AE1" s="54"/>
      <c r="AF1" s="54"/>
      <c r="AG1" s="54"/>
    </row>
    <row r="2" ht="18.75" spans="1:33">
      <c r="A2" s="49" t="s">
        <v>4</v>
      </c>
      <c r="B2" s="54" t="s">
        <v>5</v>
      </c>
      <c r="C2" s="54" t="s">
        <v>6</v>
      </c>
      <c r="D2" s="54" t="s">
        <v>7</v>
      </c>
      <c r="E2" s="54" t="s">
        <v>237</v>
      </c>
      <c r="F2" s="54" t="s">
        <v>41</v>
      </c>
      <c r="G2" s="54" t="s">
        <v>104</v>
      </c>
      <c r="H2" s="54" t="s">
        <v>10</v>
      </c>
      <c r="I2" s="54" t="s">
        <v>11</v>
      </c>
      <c r="J2" s="54" t="s">
        <v>5</v>
      </c>
      <c r="K2" s="54" t="s">
        <v>6</v>
      </c>
      <c r="L2" s="54" t="s">
        <v>7</v>
      </c>
      <c r="M2" s="54" t="s">
        <v>237</v>
      </c>
      <c r="N2" s="54" t="s">
        <v>41</v>
      </c>
      <c r="O2" s="54" t="s">
        <v>104</v>
      </c>
      <c r="P2" s="54" t="s">
        <v>10</v>
      </c>
      <c r="Q2" s="54" t="s">
        <v>11</v>
      </c>
      <c r="R2" s="54" t="s">
        <v>5</v>
      </c>
      <c r="S2" s="54" t="s">
        <v>6</v>
      </c>
      <c r="T2" s="54" t="s">
        <v>7</v>
      </c>
      <c r="U2" s="54" t="s">
        <v>237</v>
      </c>
      <c r="V2" s="54" t="s">
        <v>41</v>
      </c>
      <c r="W2" s="54" t="s">
        <v>104</v>
      </c>
      <c r="X2" s="54" t="s">
        <v>10</v>
      </c>
      <c r="Y2" s="54" t="s">
        <v>11</v>
      </c>
      <c r="Z2" s="54" t="s">
        <v>5</v>
      </c>
      <c r="AA2" s="54" t="s">
        <v>6</v>
      </c>
      <c r="AB2" s="54" t="s">
        <v>7</v>
      </c>
      <c r="AC2" s="54" t="s">
        <v>237</v>
      </c>
      <c r="AD2" s="54" t="s">
        <v>41</v>
      </c>
      <c r="AE2" s="54" t="s">
        <v>104</v>
      </c>
      <c r="AF2" s="54" t="s">
        <v>10</v>
      </c>
      <c r="AG2" s="54" t="s">
        <v>11</v>
      </c>
    </row>
    <row r="3" ht="18.75" spans="1:33">
      <c r="A3" s="58" t="s">
        <v>238</v>
      </c>
      <c r="B3" s="59">
        <v>70</v>
      </c>
      <c r="C3" s="59">
        <v>78</v>
      </c>
      <c r="D3" s="59">
        <v>88</v>
      </c>
      <c r="E3" s="59">
        <v>38</v>
      </c>
      <c r="F3" s="59">
        <v>40</v>
      </c>
      <c r="G3" s="59">
        <v>17</v>
      </c>
      <c r="H3" s="59">
        <v>95</v>
      </c>
      <c r="I3" s="59">
        <v>331</v>
      </c>
      <c r="J3" s="59">
        <v>78</v>
      </c>
      <c r="K3" s="59">
        <v>75</v>
      </c>
      <c r="L3" s="59">
        <v>88</v>
      </c>
      <c r="M3" s="59">
        <v>15</v>
      </c>
      <c r="N3" s="59">
        <v>29.4</v>
      </c>
      <c r="O3" s="59">
        <v>22</v>
      </c>
      <c r="P3" s="59">
        <f>M3+O3+N3</f>
        <v>66.4</v>
      </c>
      <c r="Q3" s="59">
        <f>J3+K3+L3+P3</f>
        <v>307.4</v>
      </c>
      <c r="R3" s="59">
        <v>76</v>
      </c>
      <c r="S3" s="59">
        <v>81</v>
      </c>
      <c r="T3" s="59">
        <v>88</v>
      </c>
      <c r="U3" s="59">
        <v>26.1</v>
      </c>
      <c r="V3" s="59">
        <v>20</v>
      </c>
      <c r="W3" s="59">
        <v>22</v>
      </c>
      <c r="X3" s="59">
        <f>U3+V3+W3</f>
        <v>68.1</v>
      </c>
      <c r="Y3" s="59">
        <f>R3+S3+T3+X3</f>
        <v>313.1</v>
      </c>
      <c r="Z3" s="60">
        <v>82</v>
      </c>
      <c r="AA3" s="60">
        <v>79</v>
      </c>
      <c r="AB3" s="60">
        <v>78</v>
      </c>
      <c r="AC3" s="60">
        <v>31</v>
      </c>
      <c r="AD3" s="60">
        <v>38</v>
      </c>
      <c r="AE3" s="60">
        <v>24</v>
      </c>
      <c r="AF3" s="60">
        <v>93</v>
      </c>
      <c r="AG3" s="60">
        <v>332</v>
      </c>
    </row>
    <row r="4" ht="18.75" spans="1:33">
      <c r="A4" s="49" t="s">
        <v>239</v>
      </c>
      <c r="B4" s="59">
        <v>80</v>
      </c>
      <c r="C4" s="59">
        <v>83</v>
      </c>
      <c r="D4" s="59">
        <v>89</v>
      </c>
      <c r="E4" s="59">
        <v>38</v>
      </c>
      <c r="F4" s="59">
        <v>43</v>
      </c>
      <c r="G4" s="59">
        <v>18</v>
      </c>
      <c r="H4" s="59">
        <v>99</v>
      </c>
      <c r="I4" s="59">
        <v>351</v>
      </c>
      <c r="J4" s="59">
        <v>72</v>
      </c>
      <c r="K4" s="59">
        <v>79</v>
      </c>
      <c r="L4" s="59">
        <v>76</v>
      </c>
      <c r="M4" s="59">
        <v>42</v>
      </c>
      <c r="N4" s="59">
        <v>35.3</v>
      </c>
      <c r="O4" s="59">
        <v>20</v>
      </c>
      <c r="P4" s="59">
        <f t="shared" ref="P4:P47" si="0">M4+O4+N4</f>
        <v>97.3</v>
      </c>
      <c r="Q4" s="59">
        <f t="shared" ref="Q4:Q47" si="1">J4+K4+L4+P4</f>
        <v>324.3</v>
      </c>
      <c r="R4" s="59">
        <v>84</v>
      </c>
      <c r="S4" s="59">
        <v>83</v>
      </c>
      <c r="T4" s="59">
        <v>96</v>
      </c>
      <c r="U4" s="59">
        <v>29.6</v>
      </c>
      <c r="V4" s="59">
        <v>32</v>
      </c>
      <c r="W4" s="59">
        <v>19</v>
      </c>
      <c r="X4" s="59">
        <f t="shared" ref="X4:X13" si="2">U4+V4+W4</f>
        <v>80.6</v>
      </c>
      <c r="Y4" s="59">
        <f t="shared" ref="Y4:Y17" si="3">R4+S4+T4+X4</f>
        <v>343.6</v>
      </c>
      <c r="Z4" s="60">
        <v>80</v>
      </c>
      <c r="AA4" s="60">
        <v>86</v>
      </c>
      <c r="AB4" s="60">
        <v>88</v>
      </c>
      <c r="AC4" s="60">
        <v>23.4</v>
      </c>
      <c r="AD4" s="60">
        <v>44</v>
      </c>
      <c r="AE4" s="60">
        <v>25</v>
      </c>
      <c r="AF4" s="60">
        <v>92.4</v>
      </c>
      <c r="AG4" s="60">
        <v>346.4</v>
      </c>
    </row>
    <row r="5" ht="18.75" spans="1:33">
      <c r="A5" s="49" t="s">
        <v>240</v>
      </c>
      <c r="B5" s="59">
        <v>66</v>
      </c>
      <c r="C5" s="59">
        <v>67</v>
      </c>
      <c r="D5" s="59">
        <v>49</v>
      </c>
      <c r="E5" s="59">
        <v>35</v>
      </c>
      <c r="F5" s="59">
        <v>24</v>
      </c>
      <c r="G5" s="59">
        <v>14</v>
      </c>
      <c r="H5" s="59">
        <v>73</v>
      </c>
      <c r="I5" s="59">
        <v>255</v>
      </c>
      <c r="J5" s="59">
        <v>62</v>
      </c>
      <c r="K5" s="59">
        <v>58</v>
      </c>
      <c r="L5" s="59">
        <v>43</v>
      </c>
      <c r="M5" s="59">
        <v>15</v>
      </c>
      <c r="N5" s="59">
        <v>23.7</v>
      </c>
      <c r="O5" s="59">
        <v>21</v>
      </c>
      <c r="P5" s="59">
        <f t="shared" si="0"/>
        <v>59.7</v>
      </c>
      <c r="Q5" s="59">
        <f t="shared" si="1"/>
        <v>222.7</v>
      </c>
      <c r="R5" s="59">
        <v>0</v>
      </c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f t="shared" si="2"/>
        <v>0</v>
      </c>
      <c r="Y5" s="59">
        <f t="shared" si="3"/>
        <v>0</v>
      </c>
      <c r="Z5" s="60">
        <v>70</v>
      </c>
      <c r="AA5" s="60">
        <v>57</v>
      </c>
      <c r="AB5" s="60">
        <v>80</v>
      </c>
      <c r="AC5" s="60">
        <v>19.1</v>
      </c>
      <c r="AD5" s="60">
        <v>18</v>
      </c>
      <c r="AE5" s="60">
        <v>16</v>
      </c>
      <c r="AF5" s="60">
        <v>53.1</v>
      </c>
      <c r="AG5" s="60">
        <v>260.1</v>
      </c>
    </row>
    <row r="6" ht="18.75" spans="1:33">
      <c r="A6" s="49" t="s">
        <v>241</v>
      </c>
      <c r="B6" s="59">
        <v>92</v>
      </c>
      <c r="C6" s="59">
        <v>94</v>
      </c>
      <c r="D6" s="59">
        <v>77</v>
      </c>
      <c r="E6" s="59">
        <v>58</v>
      </c>
      <c r="F6" s="59">
        <v>46</v>
      </c>
      <c r="G6" s="59">
        <v>24</v>
      </c>
      <c r="H6" s="59">
        <v>128</v>
      </c>
      <c r="I6" s="59">
        <v>391</v>
      </c>
      <c r="J6" s="59">
        <v>0</v>
      </c>
      <c r="K6" s="59"/>
      <c r="L6" s="59"/>
      <c r="M6" s="59"/>
      <c r="N6" s="59"/>
      <c r="O6" s="59"/>
      <c r="P6" s="59">
        <f t="shared" si="0"/>
        <v>0</v>
      </c>
      <c r="Q6" s="59">
        <f t="shared" si="1"/>
        <v>0</v>
      </c>
      <c r="R6" s="59">
        <v>86</v>
      </c>
      <c r="S6" s="59">
        <v>100</v>
      </c>
      <c r="T6" s="59">
        <v>78</v>
      </c>
      <c r="U6" s="59">
        <v>41.2</v>
      </c>
      <c r="V6" s="59">
        <v>26</v>
      </c>
      <c r="W6" s="59">
        <v>24</v>
      </c>
      <c r="X6" s="59">
        <f t="shared" si="2"/>
        <v>91.2</v>
      </c>
      <c r="Y6" s="59">
        <f t="shared" si="3"/>
        <v>355.2</v>
      </c>
      <c r="Z6" s="60">
        <v>94</v>
      </c>
      <c r="AA6" s="60">
        <v>98</v>
      </c>
      <c r="AB6" s="60">
        <v>73</v>
      </c>
      <c r="AC6" s="60">
        <v>48.9</v>
      </c>
      <c r="AD6" s="60">
        <v>41</v>
      </c>
      <c r="AE6" s="60">
        <v>22</v>
      </c>
      <c r="AF6" s="60">
        <v>111.9</v>
      </c>
      <c r="AG6" s="60">
        <v>376.9</v>
      </c>
    </row>
    <row r="7" ht="18.75" spans="1:33">
      <c r="A7" s="49" t="s">
        <v>242</v>
      </c>
      <c r="B7" s="59">
        <v>86</v>
      </c>
      <c r="C7" s="59">
        <v>86</v>
      </c>
      <c r="D7" s="59">
        <v>92</v>
      </c>
      <c r="E7" s="59">
        <v>45</v>
      </c>
      <c r="F7" s="59">
        <v>44</v>
      </c>
      <c r="G7" s="59">
        <v>20</v>
      </c>
      <c r="H7" s="59">
        <v>109</v>
      </c>
      <c r="I7" s="59">
        <v>373</v>
      </c>
      <c r="J7" s="59">
        <v>0</v>
      </c>
      <c r="K7" s="59"/>
      <c r="L7" s="59"/>
      <c r="M7" s="59"/>
      <c r="N7" s="59"/>
      <c r="O7" s="59"/>
      <c r="P7" s="59">
        <f t="shared" si="0"/>
        <v>0</v>
      </c>
      <c r="Q7" s="59">
        <f t="shared" si="1"/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f t="shared" si="2"/>
        <v>0</v>
      </c>
      <c r="Y7" s="59">
        <f t="shared" si="3"/>
        <v>0</v>
      </c>
      <c r="Z7" s="61" t="s">
        <v>50</v>
      </c>
      <c r="AA7" s="61" t="s">
        <v>50</v>
      </c>
      <c r="AB7" s="61" t="s">
        <v>50</v>
      </c>
      <c r="AC7" s="61" t="s">
        <v>50</v>
      </c>
      <c r="AD7" s="61" t="s">
        <v>50</v>
      </c>
      <c r="AE7" s="61" t="s">
        <v>50</v>
      </c>
      <c r="AF7" s="61" t="s">
        <v>50</v>
      </c>
      <c r="AG7" s="61" t="s">
        <v>50</v>
      </c>
    </row>
    <row r="8" ht="18.75" spans="1:33">
      <c r="A8" s="49" t="s">
        <v>243</v>
      </c>
      <c r="B8" s="59">
        <v>74</v>
      </c>
      <c r="C8" s="59">
        <v>73</v>
      </c>
      <c r="D8" s="59">
        <v>66</v>
      </c>
      <c r="E8" s="59">
        <v>29</v>
      </c>
      <c r="F8" s="59">
        <v>30</v>
      </c>
      <c r="G8" s="59">
        <v>18</v>
      </c>
      <c r="H8" s="59">
        <v>77</v>
      </c>
      <c r="I8" s="59">
        <v>290</v>
      </c>
      <c r="J8" s="59">
        <v>56</v>
      </c>
      <c r="K8" s="59">
        <v>59</v>
      </c>
      <c r="L8" s="59">
        <v>80</v>
      </c>
      <c r="M8" s="59">
        <v>18</v>
      </c>
      <c r="N8" s="59">
        <v>22.6</v>
      </c>
      <c r="O8" s="59">
        <v>20</v>
      </c>
      <c r="P8" s="59">
        <f t="shared" si="0"/>
        <v>60.6</v>
      </c>
      <c r="Q8" s="59">
        <f t="shared" si="1"/>
        <v>255.6</v>
      </c>
      <c r="R8" s="59">
        <v>58</v>
      </c>
      <c r="S8" s="59">
        <v>52</v>
      </c>
      <c r="T8" s="59">
        <v>86</v>
      </c>
      <c r="U8" s="59">
        <v>23.5</v>
      </c>
      <c r="V8" s="59">
        <v>24</v>
      </c>
      <c r="W8" s="59">
        <v>23</v>
      </c>
      <c r="X8" s="59">
        <f t="shared" si="2"/>
        <v>70.5</v>
      </c>
      <c r="Y8" s="59">
        <f t="shared" si="3"/>
        <v>266.5</v>
      </c>
      <c r="Z8" s="60">
        <v>74</v>
      </c>
      <c r="AA8" s="60">
        <v>78</v>
      </c>
      <c r="AB8" s="60">
        <v>73</v>
      </c>
      <c r="AC8" s="60">
        <v>24.2</v>
      </c>
      <c r="AD8" s="60">
        <v>25</v>
      </c>
      <c r="AE8" s="60">
        <v>17</v>
      </c>
      <c r="AF8" s="60">
        <v>66.2</v>
      </c>
      <c r="AG8" s="60">
        <v>291.2</v>
      </c>
    </row>
    <row r="9" ht="18.75" spans="1:33">
      <c r="A9" s="49" t="s">
        <v>244</v>
      </c>
      <c r="B9" s="59">
        <v>94</v>
      </c>
      <c r="C9" s="59">
        <v>95</v>
      </c>
      <c r="D9" s="59">
        <v>93</v>
      </c>
      <c r="E9" s="59">
        <v>47</v>
      </c>
      <c r="F9" s="59">
        <v>38</v>
      </c>
      <c r="G9" s="59">
        <v>19</v>
      </c>
      <c r="H9" s="59">
        <v>104</v>
      </c>
      <c r="I9" s="59">
        <v>386</v>
      </c>
      <c r="J9" s="59">
        <v>82</v>
      </c>
      <c r="K9" s="59">
        <v>84</v>
      </c>
      <c r="L9" s="59">
        <v>90</v>
      </c>
      <c r="M9" s="59">
        <v>41</v>
      </c>
      <c r="N9" s="59">
        <v>46.4</v>
      </c>
      <c r="O9" s="59">
        <v>24</v>
      </c>
      <c r="P9" s="59">
        <f t="shared" si="0"/>
        <v>111.4</v>
      </c>
      <c r="Q9" s="59">
        <f t="shared" si="1"/>
        <v>367.4</v>
      </c>
      <c r="R9" s="59">
        <v>90</v>
      </c>
      <c r="S9" s="59">
        <v>86</v>
      </c>
      <c r="T9" s="59">
        <v>86</v>
      </c>
      <c r="U9" s="59">
        <v>48.7</v>
      </c>
      <c r="V9" s="59">
        <v>37</v>
      </c>
      <c r="W9" s="59">
        <v>27</v>
      </c>
      <c r="X9" s="59">
        <f t="shared" si="2"/>
        <v>112.7</v>
      </c>
      <c r="Y9" s="59">
        <f t="shared" si="3"/>
        <v>374.7</v>
      </c>
      <c r="Z9" s="60">
        <v>96</v>
      </c>
      <c r="AA9" s="60">
        <v>95</v>
      </c>
      <c r="AB9" s="60">
        <v>86</v>
      </c>
      <c r="AC9" s="60">
        <v>37</v>
      </c>
      <c r="AD9" s="60">
        <v>44</v>
      </c>
      <c r="AE9" s="60">
        <v>22</v>
      </c>
      <c r="AF9" s="60">
        <v>103</v>
      </c>
      <c r="AG9" s="60">
        <v>380</v>
      </c>
    </row>
    <row r="10" ht="18.75" spans="1:33">
      <c r="A10" s="49" t="s">
        <v>245</v>
      </c>
      <c r="B10" s="59">
        <v>52</v>
      </c>
      <c r="C10" s="59">
        <v>58</v>
      </c>
      <c r="D10" s="59">
        <v>51</v>
      </c>
      <c r="E10" s="59">
        <v>21</v>
      </c>
      <c r="F10" s="59">
        <v>31</v>
      </c>
      <c r="G10" s="59">
        <v>16</v>
      </c>
      <c r="H10" s="59">
        <v>68</v>
      </c>
      <c r="I10" s="59">
        <v>229</v>
      </c>
      <c r="J10" s="59">
        <v>0</v>
      </c>
      <c r="K10" s="59"/>
      <c r="L10" s="59"/>
      <c r="M10" s="59"/>
      <c r="N10" s="59"/>
      <c r="O10" s="59"/>
      <c r="P10" s="59">
        <f t="shared" si="0"/>
        <v>0</v>
      </c>
      <c r="Q10" s="59">
        <f t="shared" si="1"/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f t="shared" si="2"/>
        <v>0</v>
      </c>
      <c r="Y10" s="59">
        <f t="shared" si="3"/>
        <v>0</v>
      </c>
      <c r="Z10" s="60">
        <v>86</v>
      </c>
      <c r="AA10" s="60">
        <v>73</v>
      </c>
      <c r="AB10" s="60">
        <v>41</v>
      </c>
      <c r="AC10" s="60">
        <v>34.7</v>
      </c>
      <c r="AD10" s="60">
        <v>35</v>
      </c>
      <c r="AE10" s="60">
        <v>16</v>
      </c>
      <c r="AF10" s="60">
        <v>85.7</v>
      </c>
      <c r="AG10" s="60">
        <v>285.7</v>
      </c>
    </row>
    <row r="11" ht="18.75" spans="1:33">
      <c r="A11" s="49" t="s">
        <v>246</v>
      </c>
      <c r="B11" s="59">
        <v>70</v>
      </c>
      <c r="C11" s="59">
        <v>42</v>
      </c>
      <c r="D11" s="59">
        <v>50</v>
      </c>
      <c r="E11" s="59">
        <v>29</v>
      </c>
      <c r="F11" s="59">
        <v>36</v>
      </c>
      <c r="G11" s="59">
        <v>18</v>
      </c>
      <c r="H11" s="59">
        <v>83</v>
      </c>
      <c r="I11" s="59">
        <v>245</v>
      </c>
      <c r="J11" s="62">
        <v>70</v>
      </c>
      <c r="K11" s="62">
        <v>47</v>
      </c>
      <c r="L11" s="62">
        <v>52</v>
      </c>
      <c r="M11" s="62">
        <v>23</v>
      </c>
      <c r="N11" s="62">
        <v>24.4</v>
      </c>
      <c r="O11" s="62">
        <v>19</v>
      </c>
      <c r="P11" s="59">
        <f t="shared" si="0"/>
        <v>66.4</v>
      </c>
      <c r="Q11" s="59">
        <f t="shared" si="1"/>
        <v>235.4</v>
      </c>
      <c r="R11" s="62">
        <v>80</v>
      </c>
      <c r="S11" s="62">
        <v>61</v>
      </c>
      <c r="T11" s="62">
        <v>65</v>
      </c>
      <c r="U11" s="62">
        <v>22.7</v>
      </c>
      <c r="V11" s="62">
        <v>14</v>
      </c>
      <c r="W11" s="62">
        <v>24</v>
      </c>
      <c r="X11" s="59">
        <f t="shared" si="2"/>
        <v>60.7</v>
      </c>
      <c r="Y11" s="59">
        <f t="shared" si="3"/>
        <v>266.7</v>
      </c>
      <c r="Z11" s="60">
        <v>74</v>
      </c>
      <c r="AA11" s="60">
        <v>38</v>
      </c>
      <c r="AB11" s="60">
        <v>41</v>
      </c>
      <c r="AC11" s="60">
        <v>21.5</v>
      </c>
      <c r="AD11" s="60">
        <v>30</v>
      </c>
      <c r="AE11" s="60">
        <v>22</v>
      </c>
      <c r="AF11" s="60">
        <v>73.5</v>
      </c>
      <c r="AG11" s="60">
        <v>226.5</v>
      </c>
    </row>
    <row r="12" ht="18.75" spans="1:33">
      <c r="A12" s="49" t="s">
        <v>247</v>
      </c>
      <c r="B12" s="59">
        <v>64</v>
      </c>
      <c r="C12" s="59">
        <v>62</v>
      </c>
      <c r="D12" s="59">
        <v>78</v>
      </c>
      <c r="E12" s="59">
        <v>16</v>
      </c>
      <c r="F12" s="59">
        <v>33</v>
      </c>
      <c r="G12" s="59">
        <v>15</v>
      </c>
      <c r="H12" s="59">
        <v>64</v>
      </c>
      <c r="I12" s="59">
        <v>268</v>
      </c>
      <c r="J12" s="62">
        <v>64</v>
      </c>
      <c r="K12" s="62">
        <v>74</v>
      </c>
      <c r="L12" s="62">
        <v>67</v>
      </c>
      <c r="M12" s="62">
        <v>17</v>
      </c>
      <c r="N12" s="62">
        <v>22.7</v>
      </c>
      <c r="O12" s="62">
        <v>20</v>
      </c>
      <c r="P12" s="59">
        <f t="shared" si="0"/>
        <v>59.7</v>
      </c>
      <c r="Q12" s="59">
        <f t="shared" si="1"/>
        <v>264.7</v>
      </c>
      <c r="R12" s="62">
        <v>70</v>
      </c>
      <c r="S12" s="62">
        <v>58</v>
      </c>
      <c r="T12" s="62">
        <v>67</v>
      </c>
      <c r="U12" s="62">
        <v>16.6</v>
      </c>
      <c r="V12" s="62">
        <v>21</v>
      </c>
      <c r="W12" s="62">
        <v>19</v>
      </c>
      <c r="X12" s="59">
        <f t="shared" si="2"/>
        <v>56.6</v>
      </c>
      <c r="Y12" s="59">
        <f t="shared" si="3"/>
        <v>251.6</v>
      </c>
      <c r="Z12" s="60">
        <v>68</v>
      </c>
      <c r="AA12" s="60">
        <v>57</v>
      </c>
      <c r="AB12" s="60">
        <v>49</v>
      </c>
      <c r="AC12" s="60">
        <v>28.5</v>
      </c>
      <c r="AD12" s="60">
        <v>27</v>
      </c>
      <c r="AE12" s="60">
        <v>18</v>
      </c>
      <c r="AF12" s="60">
        <v>73.5</v>
      </c>
      <c r="AG12" s="60">
        <v>247.5</v>
      </c>
    </row>
    <row r="13" ht="18.75" spans="1:33">
      <c r="A13" s="49" t="s">
        <v>248</v>
      </c>
      <c r="B13" s="59">
        <v>84</v>
      </c>
      <c r="C13" s="59">
        <v>92</v>
      </c>
      <c r="D13" s="59">
        <v>74</v>
      </c>
      <c r="E13" s="59">
        <v>39</v>
      </c>
      <c r="F13" s="59">
        <v>39</v>
      </c>
      <c r="G13" s="59">
        <v>18</v>
      </c>
      <c r="H13" s="59">
        <v>96</v>
      </c>
      <c r="I13" s="59">
        <v>346</v>
      </c>
      <c r="J13" s="62">
        <v>84</v>
      </c>
      <c r="K13" s="62">
        <v>85</v>
      </c>
      <c r="L13" s="62">
        <v>82</v>
      </c>
      <c r="M13" s="62">
        <v>36</v>
      </c>
      <c r="N13" s="62">
        <v>37.9</v>
      </c>
      <c r="O13" s="62">
        <v>22</v>
      </c>
      <c r="P13" s="59">
        <f t="shared" si="0"/>
        <v>95.9</v>
      </c>
      <c r="Q13" s="59">
        <f t="shared" si="1"/>
        <v>346.9</v>
      </c>
      <c r="R13" s="62">
        <v>78</v>
      </c>
      <c r="S13" s="62">
        <v>96</v>
      </c>
      <c r="T13" s="62">
        <v>69</v>
      </c>
      <c r="U13" s="62">
        <v>33.6</v>
      </c>
      <c r="V13" s="62">
        <v>35</v>
      </c>
      <c r="W13" s="62">
        <v>23</v>
      </c>
      <c r="X13" s="59">
        <f t="shared" si="2"/>
        <v>91.6</v>
      </c>
      <c r="Y13" s="59">
        <f t="shared" si="3"/>
        <v>334.6</v>
      </c>
      <c r="Z13" s="60">
        <v>86</v>
      </c>
      <c r="AA13" s="60">
        <v>92</v>
      </c>
      <c r="AB13" s="60">
        <v>77</v>
      </c>
      <c r="AC13" s="60">
        <v>26.8</v>
      </c>
      <c r="AD13" s="60">
        <v>42</v>
      </c>
      <c r="AE13" s="60">
        <v>27</v>
      </c>
      <c r="AF13" s="60">
        <v>95.8</v>
      </c>
      <c r="AG13" s="60">
        <v>350.8</v>
      </c>
    </row>
    <row r="14" ht="18.75" spans="1:33">
      <c r="A14" s="49" t="s">
        <v>249</v>
      </c>
      <c r="B14" s="59">
        <v>90</v>
      </c>
      <c r="C14" s="59">
        <v>68</v>
      </c>
      <c r="D14" s="59">
        <v>73</v>
      </c>
      <c r="E14" s="59">
        <v>41</v>
      </c>
      <c r="F14" s="59">
        <v>38</v>
      </c>
      <c r="G14" s="59">
        <v>17</v>
      </c>
      <c r="H14" s="59">
        <v>96</v>
      </c>
      <c r="I14" s="59">
        <v>327</v>
      </c>
      <c r="J14" s="62">
        <v>84</v>
      </c>
      <c r="K14" s="62">
        <v>78</v>
      </c>
      <c r="L14" s="62">
        <v>76</v>
      </c>
      <c r="M14" s="62">
        <v>23</v>
      </c>
      <c r="N14" s="62">
        <v>34.9</v>
      </c>
      <c r="O14" s="62">
        <v>20</v>
      </c>
      <c r="P14" s="59">
        <f t="shared" si="0"/>
        <v>77.9</v>
      </c>
      <c r="Q14" s="59">
        <f t="shared" si="1"/>
        <v>315.9</v>
      </c>
      <c r="R14" s="62">
        <v>90</v>
      </c>
      <c r="S14" s="62">
        <v>80</v>
      </c>
      <c r="T14" s="62">
        <v>71</v>
      </c>
      <c r="U14" s="62">
        <v>38.6</v>
      </c>
      <c r="V14" s="62">
        <v>22</v>
      </c>
      <c r="W14" s="62">
        <v>27</v>
      </c>
      <c r="X14" s="59">
        <f t="shared" ref="X14:X26" si="4">U14+V14+W14</f>
        <v>87.6</v>
      </c>
      <c r="Y14" s="59">
        <f t="shared" si="3"/>
        <v>328.6</v>
      </c>
      <c r="Z14" s="60">
        <v>88</v>
      </c>
      <c r="AA14" s="60">
        <v>77</v>
      </c>
      <c r="AB14" s="60">
        <v>68</v>
      </c>
      <c r="AC14" s="60">
        <v>31.8</v>
      </c>
      <c r="AD14" s="60">
        <v>31</v>
      </c>
      <c r="AE14" s="60">
        <v>25</v>
      </c>
      <c r="AF14" s="60">
        <v>87.8</v>
      </c>
      <c r="AG14" s="60">
        <v>320.8</v>
      </c>
    </row>
    <row r="15" ht="18.75" spans="1:33">
      <c r="A15" s="49" t="s">
        <v>250</v>
      </c>
      <c r="B15" s="59">
        <v>88</v>
      </c>
      <c r="C15" s="59">
        <v>83</v>
      </c>
      <c r="D15" s="59">
        <v>73</v>
      </c>
      <c r="E15" s="59">
        <v>46</v>
      </c>
      <c r="F15" s="59">
        <v>35</v>
      </c>
      <c r="G15" s="59">
        <v>21</v>
      </c>
      <c r="H15" s="59">
        <v>102</v>
      </c>
      <c r="I15" s="59">
        <v>346</v>
      </c>
      <c r="J15" s="62">
        <v>80</v>
      </c>
      <c r="K15" s="62">
        <v>75</v>
      </c>
      <c r="L15" s="62">
        <v>75</v>
      </c>
      <c r="M15" s="62">
        <v>16</v>
      </c>
      <c r="N15" s="62">
        <v>29.4</v>
      </c>
      <c r="O15" s="62">
        <v>23</v>
      </c>
      <c r="P15" s="59">
        <f t="shared" si="0"/>
        <v>68.4</v>
      </c>
      <c r="Q15" s="59">
        <f t="shared" si="1"/>
        <v>298.4</v>
      </c>
      <c r="R15" s="62">
        <v>84</v>
      </c>
      <c r="S15" s="62">
        <v>56</v>
      </c>
      <c r="T15" s="62">
        <v>73</v>
      </c>
      <c r="U15" s="62">
        <v>19</v>
      </c>
      <c r="V15" s="62">
        <v>24</v>
      </c>
      <c r="W15" s="62">
        <v>21</v>
      </c>
      <c r="X15" s="59">
        <f t="shared" si="4"/>
        <v>64</v>
      </c>
      <c r="Y15" s="59">
        <f t="shared" si="3"/>
        <v>277</v>
      </c>
      <c r="Z15" s="60">
        <v>92</v>
      </c>
      <c r="AA15" s="60">
        <v>71</v>
      </c>
      <c r="AB15" s="60">
        <v>66</v>
      </c>
      <c r="AC15" s="60">
        <v>13.2</v>
      </c>
      <c r="AD15" s="60">
        <v>20</v>
      </c>
      <c r="AE15" s="60">
        <v>22</v>
      </c>
      <c r="AF15" s="60">
        <v>55.2</v>
      </c>
      <c r="AG15" s="60">
        <v>284.2</v>
      </c>
    </row>
    <row r="16" ht="18.75" spans="1:33">
      <c r="A16" s="49" t="s">
        <v>251</v>
      </c>
      <c r="B16" s="59">
        <v>80</v>
      </c>
      <c r="C16" s="59">
        <v>69</v>
      </c>
      <c r="D16" s="59">
        <v>67</v>
      </c>
      <c r="E16" s="59">
        <v>17</v>
      </c>
      <c r="F16" s="59">
        <v>33</v>
      </c>
      <c r="G16" s="59">
        <v>15</v>
      </c>
      <c r="H16" s="59">
        <v>65</v>
      </c>
      <c r="I16" s="59">
        <v>281</v>
      </c>
      <c r="J16" s="62">
        <v>52</v>
      </c>
      <c r="K16" s="62">
        <v>66</v>
      </c>
      <c r="L16" s="62">
        <v>68</v>
      </c>
      <c r="M16" s="62">
        <v>22</v>
      </c>
      <c r="N16" s="62">
        <v>18.6</v>
      </c>
      <c r="O16" s="62">
        <v>18</v>
      </c>
      <c r="P16" s="59">
        <f t="shared" si="0"/>
        <v>58.6</v>
      </c>
      <c r="Q16" s="59">
        <f t="shared" si="1"/>
        <v>244.6</v>
      </c>
      <c r="R16" s="62">
        <v>68</v>
      </c>
      <c r="S16" s="62">
        <v>60</v>
      </c>
      <c r="T16" s="62">
        <v>57</v>
      </c>
      <c r="U16" s="62">
        <v>25.9</v>
      </c>
      <c r="V16" s="62">
        <v>28</v>
      </c>
      <c r="W16" s="62">
        <v>18</v>
      </c>
      <c r="X16" s="59">
        <f t="shared" si="4"/>
        <v>71.9</v>
      </c>
      <c r="Y16" s="59">
        <f t="shared" si="3"/>
        <v>256.9</v>
      </c>
      <c r="Z16" s="60">
        <v>88</v>
      </c>
      <c r="AA16" s="60">
        <v>81</v>
      </c>
      <c r="AB16" s="60">
        <v>68</v>
      </c>
      <c r="AC16" s="60">
        <v>22.4</v>
      </c>
      <c r="AD16" s="60">
        <v>32</v>
      </c>
      <c r="AE16" s="60">
        <v>20</v>
      </c>
      <c r="AF16" s="60">
        <v>74.4</v>
      </c>
      <c r="AG16" s="60">
        <v>311.4</v>
      </c>
    </row>
    <row r="17" ht="18.75" spans="1:33">
      <c r="A17" s="49" t="s">
        <v>252</v>
      </c>
      <c r="B17" s="59">
        <v>54</v>
      </c>
      <c r="C17" s="59">
        <v>61</v>
      </c>
      <c r="D17" s="59">
        <v>69</v>
      </c>
      <c r="E17" s="59">
        <v>29</v>
      </c>
      <c r="F17" s="59">
        <v>19</v>
      </c>
      <c r="G17" s="59">
        <v>14</v>
      </c>
      <c r="H17" s="59">
        <v>62</v>
      </c>
      <c r="I17" s="59">
        <v>246</v>
      </c>
      <c r="J17" s="59">
        <v>0</v>
      </c>
      <c r="K17" s="59"/>
      <c r="L17" s="59"/>
      <c r="M17" s="59"/>
      <c r="N17" s="59"/>
      <c r="O17" s="59"/>
      <c r="P17" s="59">
        <f t="shared" si="0"/>
        <v>0</v>
      </c>
      <c r="Q17" s="59">
        <f t="shared" si="1"/>
        <v>0</v>
      </c>
      <c r="R17" s="59">
        <v>56</v>
      </c>
      <c r="S17" s="59">
        <v>56</v>
      </c>
      <c r="T17" s="59">
        <v>56</v>
      </c>
      <c r="U17" s="59">
        <v>16.6</v>
      </c>
      <c r="V17" s="59">
        <v>15</v>
      </c>
      <c r="W17" s="59">
        <v>19</v>
      </c>
      <c r="X17" s="59">
        <f t="shared" si="4"/>
        <v>50.6</v>
      </c>
      <c r="Y17" s="59">
        <f t="shared" si="3"/>
        <v>218.6</v>
      </c>
      <c r="Z17" s="60">
        <v>66</v>
      </c>
      <c r="AA17" s="60">
        <v>48</v>
      </c>
      <c r="AB17" s="60">
        <v>67</v>
      </c>
      <c r="AC17" s="60">
        <v>18</v>
      </c>
      <c r="AD17" s="60">
        <v>18</v>
      </c>
      <c r="AE17" s="60">
        <v>18</v>
      </c>
      <c r="AF17" s="60">
        <v>54</v>
      </c>
      <c r="AG17" s="60">
        <v>235</v>
      </c>
    </row>
    <row r="18" spans="1:33">
      <c r="A18" s="54" t="s">
        <v>253</v>
      </c>
      <c r="B18" s="59">
        <v>50</v>
      </c>
      <c r="C18" s="59">
        <v>49</v>
      </c>
      <c r="D18" s="59">
        <v>88</v>
      </c>
      <c r="E18" s="59">
        <v>20</v>
      </c>
      <c r="F18" s="59">
        <v>25</v>
      </c>
      <c r="G18" s="59">
        <v>18</v>
      </c>
      <c r="H18" s="59">
        <v>63</v>
      </c>
      <c r="I18" s="59">
        <v>250</v>
      </c>
      <c r="J18" s="62">
        <v>50</v>
      </c>
      <c r="K18" s="62">
        <v>63</v>
      </c>
      <c r="L18" s="62">
        <v>79</v>
      </c>
      <c r="M18" s="62">
        <v>19</v>
      </c>
      <c r="N18" s="62">
        <v>17.1</v>
      </c>
      <c r="O18" s="62">
        <v>20</v>
      </c>
      <c r="P18" s="59">
        <f t="shared" si="0"/>
        <v>56.1</v>
      </c>
      <c r="Q18" s="59">
        <f t="shared" si="1"/>
        <v>248.1</v>
      </c>
      <c r="R18" s="62">
        <v>64</v>
      </c>
      <c r="S18" s="62">
        <v>47</v>
      </c>
      <c r="T18" s="62">
        <v>77</v>
      </c>
      <c r="U18" s="62">
        <v>19.1</v>
      </c>
      <c r="V18" s="62">
        <v>11</v>
      </c>
      <c r="W18" s="62">
        <v>18</v>
      </c>
      <c r="X18" s="59">
        <f t="shared" si="4"/>
        <v>48.1</v>
      </c>
      <c r="Y18" s="59">
        <f t="shared" ref="Y18:Y31" si="5">R18+S18+T18+X18</f>
        <v>236.1</v>
      </c>
      <c r="Z18" s="60">
        <v>50</v>
      </c>
      <c r="AA18" s="60">
        <v>81</v>
      </c>
      <c r="AB18" s="60">
        <v>84</v>
      </c>
      <c r="AC18" s="60">
        <v>19.8</v>
      </c>
      <c r="AD18" s="60">
        <v>18</v>
      </c>
      <c r="AE18" s="60">
        <v>15</v>
      </c>
      <c r="AF18" s="60">
        <v>52.8</v>
      </c>
      <c r="AG18" s="60">
        <v>267.8</v>
      </c>
    </row>
    <row r="19" spans="1:33">
      <c r="A19" s="54" t="s">
        <v>254</v>
      </c>
      <c r="B19" s="59">
        <v>84</v>
      </c>
      <c r="C19" s="59">
        <v>86</v>
      </c>
      <c r="D19" s="59">
        <v>77</v>
      </c>
      <c r="E19" s="59">
        <v>29</v>
      </c>
      <c r="F19" s="59">
        <v>37</v>
      </c>
      <c r="G19" s="59">
        <v>26</v>
      </c>
      <c r="H19" s="59">
        <v>92</v>
      </c>
      <c r="I19" s="59">
        <v>339</v>
      </c>
      <c r="J19" s="59">
        <v>0</v>
      </c>
      <c r="K19" s="59"/>
      <c r="L19" s="59"/>
      <c r="M19" s="59"/>
      <c r="N19" s="59"/>
      <c r="O19" s="59"/>
      <c r="P19" s="59">
        <f t="shared" si="0"/>
        <v>0</v>
      </c>
      <c r="Q19" s="59">
        <f t="shared" si="1"/>
        <v>0</v>
      </c>
      <c r="R19" s="59">
        <v>88</v>
      </c>
      <c r="S19" s="59">
        <v>90</v>
      </c>
      <c r="T19" s="59">
        <v>79</v>
      </c>
      <c r="U19" s="59">
        <v>36.1</v>
      </c>
      <c r="V19" s="59">
        <v>29</v>
      </c>
      <c r="W19" s="59">
        <v>27</v>
      </c>
      <c r="X19" s="59">
        <f t="shared" si="4"/>
        <v>92.1</v>
      </c>
      <c r="Y19" s="59">
        <f t="shared" si="5"/>
        <v>349.1</v>
      </c>
      <c r="Z19" s="60">
        <v>90</v>
      </c>
      <c r="AA19" s="60">
        <v>95</v>
      </c>
      <c r="AB19" s="60">
        <v>79</v>
      </c>
      <c r="AC19" s="60">
        <v>37.5</v>
      </c>
      <c r="AD19" s="60">
        <v>40</v>
      </c>
      <c r="AE19" s="60">
        <v>22</v>
      </c>
      <c r="AF19" s="60">
        <v>99.5</v>
      </c>
      <c r="AG19" s="60">
        <v>363.5</v>
      </c>
    </row>
    <row r="20" spans="1:33">
      <c r="A20" s="54" t="s">
        <v>255</v>
      </c>
      <c r="B20" s="59">
        <v>78</v>
      </c>
      <c r="C20" s="59">
        <v>83</v>
      </c>
      <c r="D20" s="59">
        <v>84</v>
      </c>
      <c r="E20" s="59">
        <v>28</v>
      </c>
      <c r="F20" s="59">
        <v>37</v>
      </c>
      <c r="G20" s="59">
        <v>21</v>
      </c>
      <c r="H20" s="59">
        <v>86</v>
      </c>
      <c r="I20" s="59">
        <v>331</v>
      </c>
      <c r="J20" s="62">
        <v>68</v>
      </c>
      <c r="K20" s="62">
        <v>64</v>
      </c>
      <c r="L20" s="62">
        <v>75</v>
      </c>
      <c r="M20" s="62">
        <v>23</v>
      </c>
      <c r="N20" s="62">
        <v>24.4</v>
      </c>
      <c r="O20" s="62">
        <v>16</v>
      </c>
      <c r="P20" s="59">
        <f t="shared" si="0"/>
        <v>63.4</v>
      </c>
      <c r="Q20" s="59">
        <f t="shared" si="1"/>
        <v>270.4</v>
      </c>
      <c r="R20" s="62">
        <v>72</v>
      </c>
      <c r="S20" s="62">
        <v>89</v>
      </c>
      <c r="T20" s="62">
        <v>78</v>
      </c>
      <c r="U20" s="62">
        <v>35.4</v>
      </c>
      <c r="V20" s="62">
        <v>20</v>
      </c>
      <c r="W20" s="62">
        <v>18</v>
      </c>
      <c r="X20" s="59">
        <f t="shared" si="4"/>
        <v>73.4</v>
      </c>
      <c r="Y20" s="59">
        <f t="shared" si="5"/>
        <v>312.4</v>
      </c>
      <c r="Z20" s="60">
        <v>84</v>
      </c>
      <c r="AA20" s="60">
        <v>89</v>
      </c>
      <c r="AB20" s="60">
        <v>69</v>
      </c>
      <c r="AC20" s="60">
        <v>29.2</v>
      </c>
      <c r="AD20" s="60">
        <v>38</v>
      </c>
      <c r="AE20" s="60">
        <v>22</v>
      </c>
      <c r="AF20" s="60">
        <v>89.2</v>
      </c>
      <c r="AG20" s="60">
        <v>331.2</v>
      </c>
    </row>
    <row r="21" spans="1:33">
      <c r="A21" s="54" t="s">
        <v>256</v>
      </c>
      <c r="B21" s="59">
        <v>72</v>
      </c>
      <c r="C21" s="59">
        <v>64</v>
      </c>
      <c r="D21" s="59">
        <v>79</v>
      </c>
      <c r="E21" s="59">
        <v>25</v>
      </c>
      <c r="F21" s="59">
        <v>38</v>
      </c>
      <c r="G21" s="59">
        <v>23</v>
      </c>
      <c r="H21" s="59">
        <v>86</v>
      </c>
      <c r="I21" s="59">
        <v>301</v>
      </c>
      <c r="J21" s="62">
        <v>72</v>
      </c>
      <c r="K21" s="62">
        <v>60</v>
      </c>
      <c r="L21" s="62">
        <v>69</v>
      </c>
      <c r="M21" s="62">
        <v>20</v>
      </c>
      <c r="N21" s="62">
        <v>22.7</v>
      </c>
      <c r="O21" s="62">
        <v>23</v>
      </c>
      <c r="P21" s="59">
        <f t="shared" si="0"/>
        <v>65.7</v>
      </c>
      <c r="Q21" s="59">
        <f t="shared" si="1"/>
        <v>266.7</v>
      </c>
      <c r="R21" s="62">
        <v>98</v>
      </c>
      <c r="S21" s="62">
        <v>92</v>
      </c>
      <c r="T21" s="62">
        <v>85</v>
      </c>
      <c r="U21" s="62">
        <v>42.4</v>
      </c>
      <c r="V21" s="62">
        <v>28</v>
      </c>
      <c r="W21" s="62">
        <v>20</v>
      </c>
      <c r="X21" s="59">
        <f t="shared" si="4"/>
        <v>90.4</v>
      </c>
      <c r="Y21" s="59">
        <f t="shared" si="5"/>
        <v>365.4</v>
      </c>
      <c r="Z21" s="60">
        <v>92</v>
      </c>
      <c r="AA21" s="60">
        <v>86</v>
      </c>
      <c r="AB21" s="60">
        <v>72</v>
      </c>
      <c r="AC21" s="60">
        <v>34.7</v>
      </c>
      <c r="AD21" s="60">
        <v>44</v>
      </c>
      <c r="AE21" s="60">
        <v>21</v>
      </c>
      <c r="AF21" s="60">
        <v>99.7</v>
      </c>
      <c r="AG21" s="60">
        <v>349.7</v>
      </c>
    </row>
    <row r="22" spans="1:33">
      <c r="A22" s="54" t="s">
        <v>257</v>
      </c>
      <c r="B22" s="59">
        <v>68</v>
      </c>
      <c r="C22" s="59">
        <v>0</v>
      </c>
      <c r="D22" s="59">
        <v>57</v>
      </c>
      <c r="E22" s="59">
        <v>26</v>
      </c>
      <c r="F22" s="59">
        <v>37</v>
      </c>
      <c r="G22" s="59">
        <v>26</v>
      </c>
      <c r="H22" s="59">
        <v>89</v>
      </c>
      <c r="I22" s="59">
        <v>214</v>
      </c>
      <c r="J22" s="62">
        <v>56</v>
      </c>
      <c r="K22" s="62">
        <v>57</v>
      </c>
      <c r="L22" s="62">
        <v>62</v>
      </c>
      <c r="M22" s="62">
        <v>15</v>
      </c>
      <c r="N22" s="62">
        <v>22.7</v>
      </c>
      <c r="O22" s="62">
        <v>22</v>
      </c>
      <c r="P22" s="59">
        <f t="shared" si="0"/>
        <v>59.7</v>
      </c>
      <c r="Q22" s="59">
        <f t="shared" si="1"/>
        <v>234.7</v>
      </c>
      <c r="R22" s="62">
        <v>90</v>
      </c>
      <c r="S22" s="62">
        <v>84</v>
      </c>
      <c r="T22" s="62">
        <v>78</v>
      </c>
      <c r="U22" s="62">
        <v>41.2</v>
      </c>
      <c r="V22" s="62">
        <v>20</v>
      </c>
      <c r="W22" s="62">
        <v>18</v>
      </c>
      <c r="X22" s="59">
        <f t="shared" si="4"/>
        <v>79.2</v>
      </c>
      <c r="Y22" s="59">
        <f t="shared" si="5"/>
        <v>331.2</v>
      </c>
      <c r="Z22" s="60">
        <v>92</v>
      </c>
      <c r="AA22" s="60">
        <v>98</v>
      </c>
      <c r="AB22" s="60">
        <v>76</v>
      </c>
      <c r="AC22" s="60">
        <v>43</v>
      </c>
      <c r="AD22" s="60">
        <v>42</v>
      </c>
      <c r="AE22" s="60">
        <v>26</v>
      </c>
      <c r="AF22" s="60">
        <v>111</v>
      </c>
      <c r="AG22" s="60">
        <v>377</v>
      </c>
    </row>
    <row r="23" spans="1:33">
      <c r="A23" s="54" t="s">
        <v>258</v>
      </c>
      <c r="B23" s="59">
        <v>78</v>
      </c>
      <c r="C23" s="59">
        <v>59</v>
      </c>
      <c r="D23" s="59">
        <v>47</v>
      </c>
      <c r="E23" s="59">
        <v>29</v>
      </c>
      <c r="F23" s="59">
        <v>32</v>
      </c>
      <c r="G23" s="59">
        <v>21</v>
      </c>
      <c r="H23" s="59">
        <v>82</v>
      </c>
      <c r="I23" s="59">
        <v>266</v>
      </c>
      <c r="J23" s="62">
        <v>64</v>
      </c>
      <c r="K23" s="62">
        <v>73</v>
      </c>
      <c r="L23" s="62">
        <v>56</v>
      </c>
      <c r="M23" s="62">
        <v>15</v>
      </c>
      <c r="N23" s="62">
        <v>24.4</v>
      </c>
      <c r="O23" s="62">
        <v>19</v>
      </c>
      <c r="P23" s="59">
        <f t="shared" si="0"/>
        <v>58.4</v>
      </c>
      <c r="Q23" s="59">
        <f t="shared" si="1"/>
        <v>251.4</v>
      </c>
      <c r="R23" s="62">
        <v>96</v>
      </c>
      <c r="S23" s="62">
        <v>83</v>
      </c>
      <c r="T23" s="62">
        <v>75</v>
      </c>
      <c r="U23" s="62">
        <v>52.4</v>
      </c>
      <c r="V23" s="62">
        <v>29</v>
      </c>
      <c r="W23" s="62">
        <v>22</v>
      </c>
      <c r="X23" s="59">
        <f t="shared" si="4"/>
        <v>103.4</v>
      </c>
      <c r="Y23" s="59">
        <f t="shared" si="5"/>
        <v>357.4</v>
      </c>
      <c r="Z23" s="60">
        <v>90</v>
      </c>
      <c r="AA23" s="60">
        <v>83</v>
      </c>
      <c r="AB23" s="60">
        <v>70</v>
      </c>
      <c r="AC23" s="60">
        <v>46.4</v>
      </c>
      <c r="AD23" s="60">
        <v>46</v>
      </c>
      <c r="AE23" s="60">
        <v>26</v>
      </c>
      <c r="AF23" s="60">
        <v>118.4</v>
      </c>
      <c r="AG23" s="60">
        <v>361.4</v>
      </c>
    </row>
    <row r="24" spans="1:33">
      <c r="A24" s="54" t="s">
        <v>259</v>
      </c>
      <c r="B24" s="59">
        <v>84</v>
      </c>
      <c r="C24" s="59">
        <v>83</v>
      </c>
      <c r="D24" s="59">
        <v>57</v>
      </c>
      <c r="E24" s="59">
        <v>46</v>
      </c>
      <c r="F24" s="59">
        <v>40</v>
      </c>
      <c r="G24" s="59">
        <v>19</v>
      </c>
      <c r="H24" s="59">
        <v>105</v>
      </c>
      <c r="I24" s="59">
        <v>329</v>
      </c>
      <c r="J24" s="62">
        <v>82</v>
      </c>
      <c r="K24" s="62">
        <v>68</v>
      </c>
      <c r="L24" s="62">
        <v>59</v>
      </c>
      <c r="M24" s="62">
        <v>22</v>
      </c>
      <c r="N24" s="62">
        <v>49.8</v>
      </c>
      <c r="O24" s="62">
        <v>24</v>
      </c>
      <c r="P24" s="59">
        <f t="shared" si="0"/>
        <v>95.8</v>
      </c>
      <c r="Q24" s="59">
        <f t="shared" si="1"/>
        <v>304.8</v>
      </c>
      <c r="R24" s="62">
        <v>98</v>
      </c>
      <c r="S24" s="62">
        <v>92</v>
      </c>
      <c r="T24" s="62">
        <v>85</v>
      </c>
      <c r="U24" s="62">
        <v>58.3</v>
      </c>
      <c r="V24" s="62">
        <v>27</v>
      </c>
      <c r="W24" s="62">
        <v>27</v>
      </c>
      <c r="X24" s="59">
        <f t="shared" si="4"/>
        <v>112.3</v>
      </c>
      <c r="Y24" s="59">
        <f t="shared" si="5"/>
        <v>387.3</v>
      </c>
      <c r="Z24" s="60">
        <v>94</v>
      </c>
      <c r="AA24" s="60">
        <v>93</v>
      </c>
      <c r="AB24" s="60">
        <v>81</v>
      </c>
      <c r="AC24" s="60">
        <v>49.7</v>
      </c>
      <c r="AD24" s="60">
        <v>44</v>
      </c>
      <c r="AE24" s="60">
        <v>25</v>
      </c>
      <c r="AF24" s="60">
        <v>118.7</v>
      </c>
      <c r="AG24" s="60">
        <v>386.7</v>
      </c>
    </row>
    <row r="25" spans="1:33">
      <c r="A25" s="54" t="s">
        <v>260</v>
      </c>
      <c r="B25" s="59">
        <v>74</v>
      </c>
      <c r="C25" s="59">
        <v>90</v>
      </c>
      <c r="D25" s="59">
        <v>62</v>
      </c>
      <c r="E25" s="59">
        <v>30</v>
      </c>
      <c r="F25" s="59">
        <v>35</v>
      </c>
      <c r="G25" s="59">
        <v>19</v>
      </c>
      <c r="H25" s="59">
        <v>84</v>
      </c>
      <c r="I25" s="59">
        <v>310</v>
      </c>
      <c r="J25" s="62">
        <v>78</v>
      </c>
      <c r="K25" s="62">
        <v>86</v>
      </c>
      <c r="L25" s="62">
        <v>60</v>
      </c>
      <c r="M25" s="62">
        <v>40</v>
      </c>
      <c r="N25" s="62">
        <v>48.1</v>
      </c>
      <c r="O25" s="62">
        <v>23</v>
      </c>
      <c r="P25" s="59">
        <f t="shared" si="0"/>
        <v>111.1</v>
      </c>
      <c r="Q25" s="59">
        <f t="shared" si="1"/>
        <v>335.1</v>
      </c>
      <c r="R25" s="62">
        <v>92</v>
      </c>
      <c r="S25" s="62">
        <v>86</v>
      </c>
      <c r="T25" s="62">
        <v>83</v>
      </c>
      <c r="U25" s="62">
        <v>52.4</v>
      </c>
      <c r="V25" s="62">
        <v>28</v>
      </c>
      <c r="W25" s="62">
        <v>22</v>
      </c>
      <c r="X25" s="59">
        <f t="shared" si="4"/>
        <v>102.4</v>
      </c>
      <c r="Y25" s="59">
        <f t="shared" si="5"/>
        <v>363.4</v>
      </c>
      <c r="Z25" s="60">
        <v>96</v>
      </c>
      <c r="AA25" s="60">
        <v>88</v>
      </c>
      <c r="AB25" s="60">
        <v>76</v>
      </c>
      <c r="AC25" s="60">
        <v>40.4</v>
      </c>
      <c r="AD25" s="60">
        <v>44</v>
      </c>
      <c r="AE25" s="60">
        <v>25</v>
      </c>
      <c r="AF25" s="60">
        <v>109.4</v>
      </c>
      <c r="AG25" s="60">
        <v>369.4</v>
      </c>
    </row>
    <row r="26" spans="1:33">
      <c r="A26" s="54" t="s">
        <v>261</v>
      </c>
      <c r="B26" s="59">
        <v>58</v>
      </c>
      <c r="C26" s="59">
        <v>91</v>
      </c>
      <c r="D26" s="59">
        <v>31</v>
      </c>
      <c r="E26" s="59">
        <v>21</v>
      </c>
      <c r="F26" s="59">
        <v>28</v>
      </c>
      <c r="G26" s="59">
        <v>11</v>
      </c>
      <c r="H26" s="59">
        <v>60</v>
      </c>
      <c r="I26" s="59">
        <v>240</v>
      </c>
      <c r="J26" s="59">
        <v>0</v>
      </c>
      <c r="K26" s="59"/>
      <c r="L26" s="59"/>
      <c r="M26" s="59"/>
      <c r="N26" s="59"/>
      <c r="O26" s="59"/>
      <c r="P26" s="59">
        <f t="shared" si="0"/>
        <v>0</v>
      </c>
      <c r="Q26" s="59">
        <f t="shared" si="1"/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f t="shared" si="4"/>
        <v>0</v>
      </c>
      <c r="Y26" s="59">
        <f t="shared" si="5"/>
        <v>0</v>
      </c>
      <c r="Z26" s="60">
        <v>78</v>
      </c>
      <c r="AA26" s="60">
        <v>56</v>
      </c>
      <c r="AB26" s="60">
        <v>46</v>
      </c>
      <c r="AC26" s="60">
        <v>19.9</v>
      </c>
      <c r="AD26" s="60">
        <v>25</v>
      </c>
      <c r="AE26" s="60">
        <v>21</v>
      </c>
      <c r="AF26" s="60">
        <v>65.9</v>
      </c>
      <c r="AG26" s="60">
        <v>245.9</v>
      </c>
    </row>
    <row r="27" spans="1:33">
      <c r="A27" s="54" t="s">
        <v>262</v>
      </c>
      <c r="B27" s="59">
        <v>92</v>
      </c>
      <c r="C27" s="59">
        <v>69</v>
      </c>
      <c r="D27" s="59">
        <v>78</v>
      </c>
      <c r="E27" s="59">
        <v>41</v>
      </c>
      <c r="F27" s="59">
        <v>38</v>
      </c>
      <c r="G27" s="59">
        <v>24</v>
      </c>
      <c r="H27" s="59">
        <v>103</v>
      </c>
      <c r="I27" s="59">
        <v>342</v>
      </c>
      <c r="J27" s="62">
        <v>78</v>
      </c>
      <c r="K27" s="62">
        <v>61</v>
      </c>
      <c r="L27" s="62">
        <v>82</v>
      </c>
      <c r="M27" s="62">
        <v>23</v>
      </c>
      <c r="N27" s="62">
        <v>45.5</v>
      </c>
      <c r="O27" s="62">
        <v>23</v>
      </c>
      <c r="P27" s="59">
        <f t="shared" si="0"/>
        <v>91.5</v>
      </c>
      <c r="Q27" s="59">
        <f t="shared" si="1"/>
        <v>312.5</v>
      </c>
      <c r="R27" s="62">
        <v>98</v>
      </c>
      <c r="S27" s="62">
        <v>95</v>
      </c>
      <c r="T27" s="62">
        <v>85</v>
      </c>
      <c r="U27" s="62">
        <v>54.9</v>
      </c>
      <c r="V27" s="62">
        <v>23</v>
      </c>
      <c r="W27" s="62">
        <v>23</v>
      </c>
      <c r="X27" s="59">
        <f t="shared" ref="X27:X43" si="6">U27+V27+W27</f>
        <v>100.9</v>
      </c>
      <c r="Y27" s="59">
        <f t="shared" si="5"/>
        <v>378.9</v>
      </c>
      <c r="Z27" s="61">
        <v>94</v>
      </c>
      <c r="AA27" s="61">
        <v>75</v>
      </c>
      <c r="AB27" s="61">
        <v>71</v>
      </c>
      <c r="AC27" s="61">
        <v>40.1</v>
      </c>
      <c r="AD27" s="61">
        <v>40</v>
      </c>
      <c r="AE27" s="61">
        <v>23</v>
      </c>
      <c r="AF27" s="61">
        <v>103.1</v>
      </c>
      <c r="AG27" s="61">
        <v>343.1</v>
      </c>
    </row>
    <row r="28" spans="1:33">
      <c r="A28" s="54" t="s">
        <v>263</v>
      </c>
      <c r="B28" s="59">
        <v>68</v>
      </c>
      <c r="C28" s="59">
        <v>51</v>
      </c>
      <c r="D28" s="59">
        <v>66</v>
      </c>
      <c r="E28" s="59">
        <v>28</v>
      </c>
      <c r="F28" s="59">
        <v>40</v>
      </c>
      <c r="G28" s="59">
        <v>19</v>
      </c>
      <c r="H28" s="59">
        <v>87</v>
      </c>
      <c r="I28" s="59">
        <v>272</v>
      </c>
      <c r="J28" s="62">
        <v>74</v>
      </c>
      <c r="K28" s="62">
        <v>50</v>
      </c>
      <c r="L28" s="62">
        <v>71</v>
      </c>
      <c r="M28" s="62">
        <v>24</v>
      </c>
      <c r="N28" s="62">
        <v>33.5</v>
      </c>
      <c r="O28" s="62">
        <v>19</v>
      </c>
      <c r="P28" s="59">
        <f t="shared" si="0"/>
        <v>76.5</v>
      </c>
      <c r="Q28" s="59">
        <f t="shared" si="1"/>
        <v>271.5</v>
      </c>
      <c r="R28" s="62">
        <v>70</v>
      </c>
      <c r="S28" s="62">
        <v>38</v>
      </c>
      <c r="T28" s="62">
        <v>71</v>
      </c>
      <c r="U28" s="62">
        <v>30.9</v>
      </c>
      <c r="V28" s="62">
        <v>23</v>
      </c>
      <c r="W28" s="62">
        <v>21</v>
      </c>
      <c r="X28" s="59">
        <f t="shared" si="6"/>
        <v>74.9</v>
      </c>
      <c r="Y28" s="59">
        <f t="shared" si="5"/>
        <v>253.9</v>
      </c>
      <c r="Z28" s="60">
        <v>92</v>
      </c>
      <c r="AA28" s="60">
        <v>66</v>
      </c>
      <c r="AB28" s="60">
        <v>79</v>
      </c>
      <c r="AC28" s="60">
        <v>35.3</v>
      </c>
      <c r="AD28" s="60">
        <v>24</v>
      </c>
      <c r="AE28" s="60">
        <v>20</v>
      </c>
      <c r="AF28" s="60">
        <v>79.3</v>
      </c>
      <c r="AG28" s="60">
        <v>316.3</v>
      </c>
    </row>
    <row r="29" spans="1:33">
      <c r="A29" s="54" t="s">
        <v>264</v>
      </c>
      <c r="B29" s="59">
        <v>60</v>
      </c>
      <c r="C29" s="59">
        <v>41</v>
      </c>
      <c r="D29" s="59">
        <v>74</v>
      </c>
      <c r="E29" s="59">
        <v>25</v>
      </c>
      <c r="F29" s="59">
        <v>25</v>
      </c>
      <c r="G29" s="59">
        <v>17</v>
      </c>
      <c r="H29" s="59">
        <v>67</v>
      </c>
      <c r="I29" s="59">
        <v>242</v>
      </c>
      <c r="J29" s="62">
        <v>72</v>
      </c>
      <c r="K29" s="62">
        <v>50</v>
      </c>
      <c r="L29" s="62">
        <v>70</v>
      </c>
      <c r="M29" s="62">
        <v>16</v>
      </c>
      <c r="N29" s="62">
        <v>25.3</v>
      </c>
      <c r="O29" s="62">
        <v>19</v>
      </c>
      <c r="P29" s="59">
        <f t="shared" si="0"/>
        <v>60.3</v>
      </c>
      <c r="Q29" s="59">
        <f t="shared" si="1"/>
        <v>252.3</v>
      </c>
      <c r="R29" s="62">
        <v>74</v>
      </c>
      <c r="S29" s="62">
        <v>43</v>
      </c>
      <c r="T29" s="62">
        <v>73</v>
      </c>
      <c r="U29" s="62">
        <v>18.3</v>
      </c>
      <c r="V29" s="62">
        <v>21</v>
      </c>
      <c r="W29" s="62">
        <v>15</v>
      </c>
      <c r="X29" s="59">
        <f t="shared" si="6"/>
        <v>54.3</v>
      </c>
      <c r="Y29" s="59">
        <f t="shared" si="5"/>
        <v>244.3</v>
      </c>
      <c r="Z29" s="60">
        <v>70</v>
      </c>
      <c r="AA29" s="60">
        <v>67</v>
      </c>
      <c r="AB29" s="60">
        <v>70</v>
      </c>
      <c r="AC29" s="60">
        <v>14.9</v>
      </c>
      <c r="AD29" s="60">
        <v>17</v>
      </c>
      <c r="AE29" s="60">
        <v>13</v>
      </c>
      <c r="AF29" s="60">
        <v>44.9</v>
      </c>
      <c r="AG29" s="60">
        <v>251.9</v>
      </c>
    </row>
    <row r="30" spans="1:33">
      <c r="A30" s="54" t="s">
        <v>265</v>
      </c>
      <c r="B30" s="59">
        <v>60</v>
      </c>
      <c r="C30" s="59">
        <v>36</v>
      </c>
      <c r="D30" s="59">
        <v>32</v>
      </c>
      <c r="E30" s="59">
        <v>25</v>
      </c>
      <c r="F30" s="59">
        <v>26</v>
      </c>
      <c r="G30" s="59">
        <v>12</v>
      </c>
      <c r="H30" s="59">
        <v>63</v>
      </c>
      <c r="I30" s="59">
        <v>191</v>
      </c>
      <c r="J30" s="62">
        <v>54</v>
      </c>
      <c r="K30" s="62">
        <v>57</v>
      </c>
      <c r="L30" s="62">
        <v>66</v>
      </c>
      <c r="M30" s="62">
        <v>18</v>
      </c>
      <c r="N30" s="62">
        <v>26</v>
      </c>
      <c r="O30" s="62">
        <v>16</v>
      </c>
      <c r="P30" s="59">
        <f t="shared" si="0"/>
        <v>60</v>
      </c>
      <c r="Q30" s="59">
        <f t="shared" si="1"/>
        <v>237</v>
      </c>
      <c r="R30" s="62">
        <v>64</v>
      </c>
      <c r="S30" s="62">
        <v>72</v>
      </c>
      <c r="T30" s="62">
        <v>67</v>
      </c>
      <c r="U30" s="62">
        <v>28.3</v>
      </c>
      <c r="V30" s="62">
        <v>15</v>
      </c>
      <c r="W30" s="62">
        <v>17</v>
      </c>
      <c r="X30" s="59">
        <f t="shared" si="6"/>
        <v>60.3</v>
      </c>
      <c r="Y30" s="59">
        <f t="shared" si="5"/>
        <v>263.3</v>
      </c>
      <c r="Z30" s="61" t="s">
        <v>50</v>
      </c>
      <c r="AA30" s="61" t="s">
        <v>50</v>
      </c>
      <c r="AB30" s="61" t="s">
        <v>50</v>
      </c>
      <c r="AC30" s="61" t="s">
        <v>50</v>
      </c>
      <c r="AD30" s="61" t="s">
        <v>50</v>
      </c>
      <c r="AE30" s="61" t="s">
        <v>50</v>
      </c>
      <c r="AF30" s="61" t="s">
        <v>50</v>
      </c>
      <c r="AG30" s="61" t="s">
        <v>50</v>
      </c>
    </row>
    <row r="31" spans="1:33">
      <c r="A31" s="54" t="s">
        <v>266</v>
      </c>
      <c r="B31" s="59">
        <v>58</v>
      </c>
      <c r="C31" s="59">
        <v>80</v>
      </c>
      <c r="D31" s="59">
        <v>23</v>
      </c>
      <c r="E31" s="59">
        <v>36</v>
      </c>
      <c r="F31" s="59">
        <v>36</v>
      </c>
      <c r="G31" s="59">
        <v>14</v>
      </c>
      <c r="H31" s="59">
        <v>86</v>
      </c>
      <c r="I31" s="59">
        <v>247</v>
      </c>
      <c r="J31" s="62">
        <v>62</v>
      </c>
      <c r="K31" s="62">
        <v>73</v>
      </c>
      <c r="L31" s="62">
        <v>40</v>
      </c>
      <c r="M31" s="62">
        <v>30</v>
      </c>
      <c r="N31" s="62">
        <v>34.3</v>
      </c>
      <c r="O31" s="62">
        <v>19</v>
      </c>
      <c r="P31" s="59">
        <f t="shared" si="0"/>
        <v>83.3</v>
      </c>
      <c r="Q31" s="59">
        <f t="shared" si="1"/>
        <v>258.3</v>
      </c>
      <c r="R31" s="62">
        <v>58</v>
      </c>
      <c r="S31" s="62">
        <v>90</v>
      </c>
      <c r="T31" s="62">
        <v>42</v>
      </c>
      <c r="U31" s="62">
        <v>35.2</v>
      </c>
      <c r="V31" s="62">
        <v>23</v>
      </c>
      <c r="W31" s="62">
        <v>27</v>
      </c>
      <c r="X31" s="59">
        <f t="shared" si="6"/>
        <v>85.2</v>
      </c>
      <c r="Y31" s="59">
        <f t="shared" si="5"/>
        <v>275.2</v>
      </c>
      <c r="Z31" s="60">
        <v>70</v>
      </c>
      <c r="AA31" s="60">
        <v>62</v>
      </c>
      <c r="AB31" s="60">
        <v>53</v>
      </c>
      <c r="AC31" s="60">
        <v>37.9</v>
      </c>
      <c r="AD31" s="60">
        <v>25</v>
      </c>
      <c r="AE31" s="60">
        <v>23</v>
      </c>
      <c r="AF31" s="60">
        <v>85.9</v>
      </c>
      <c r="AG31" s="60">
        <v>270.9</v>
      </c>
    </row>
    <row r="32" spans="1:33">
      <c r="A32" s="54" t="s">
        <v>267</v>
      </c>
      <c r="B32" s="59">
        <v>66</v>
      </c>
      <c r="C32" s="59">
        <v>69</v>
      </c>
      <c r="D32" s="59">
        <v>42</v>
      </c>
      <c r="E32" s="59">
        <v>36</v>
      </c>
      <c r="F32" s="59">
        <v>37</v>
      </c>
      <c r="G32" s="59">
        <v>10</v>
      </c>
      <c r="H32" s="59">
        <v>83</v>
      </c>
      <c r="I32" s="59">
        <v>260</v>
      </c>
      <c r="J32" s="62">
        <v>78</v>
      </c>
      <c r="K32" s="62">
        <v>70</v>
      </c>
      <c r="L32" s="62">
        <v>38</v>
      </c>
      <c r="M32" s="62">
        <v>18</v>
      </c>
      <c r="N32" s="62">
        <v>37.7</v>
      </c>
      <c r="O32" s="62">
        <v>18</v>
      </c>
      <c r="P32" s="59">
        <f t="shared" si="0"/>
        <v>73.7</v>
      </c>
      <c r="Q32" s="59">
        <f t="shared" si="1"/>
        <v>259.7</v>
      </c>
      <c r="R32" s="62">
        <v>60</v>
      </c>
      <c r="S32" s="62">
        <v>75</v>
      </c>
      <c r="T32" s="62">
        <v>32</v>
      </c>
      <c r="U32" s="62">
        <v>35.2</v>
      </c>
      <c r="V32" s="62">
        <v>11</v>
      </c>
      <c r="W32" s="62">
        <v>13</v>
      </c>
      <c r="X32" s="59">
        <f t="shared" si="6"/>
        <v>59.2</v>
      </c>
      <c r="Y32" s="59">
        <f t="shared" ref="Y32:Y44" si="7">R32+S32+T32+X32</f>
        <v>226.2</v>
      </c>
      <c r="Z32" s="60">
        <v>58</v>
      </c>
      <c r="AA32" s="60">
        <v>65</v>
      </c>
      <c r="AB32" s="60">
        <v>36</v>
      </c>
      <c r="AC32" s="60">
        <v>38</v>
      </c>
      <c r="AD32" s="60">
        <v>27</v>
      </c>
      <c r="AE32" s="60">
        <v>17</v>
      </c>
      <c r="AF32" s="60">
        <v>82</v>
      </c>
      <c r="AG32" s="60">
        <v>241</v>
      </c>
    </row>
    <row r="33" spans="1:33">
      <c r="A33" s="54" t="s">
        <v>268</v>
      </c>
      <c r="B33" s="59">
        <v>82</v>
      </c>
      <c r="C33" s="59">
        <v>92</v>
      </c>
      <c r="D33" s="59">
        <v>77</v>
      </c>
      <c r="E33" s="59">
        <v>42</v>
      </c>
      <c r="F33" s="59">
        <v>36</v>
      </c>
      <c r="G33" s="59">
        <v>16</v>
      </c>
      <c r="H33" s="59">
        <v>94</v>
      </c>
      <c r="I33" s="59">
        <v>345</v>
      </c>
      <c r="J33" s="59">
        <v>0</v>
      </c>
      <c r="K33" s="59"/>
      <c r="L33" s="59"/>
      <c r="M33" s="59"/>
      <c r="N33" s="59"/>
      <c r="O33" s="59"/>
      <c r="P33" s="59">
        <f t="shared" si="0"/>
        <v>0</v>
      </c>
      <c r="Q33" s="59">
        <f t="shared" si="1"/>
        <v>0</v>
      </c>
      <c r="R33" s="59">
        <v>0</v>
      </c>
      <c r="S33" s="59">
        <v>0</v>
      </c>
      <c r="T33" s="59">
        <v>0</v>
      </c>
      <c r="U33" s="59">
        <v>0</v>
      </c>
      <c r="V33" s="59">
        <v>0</v>
      </c>
      <c r="W33" s="59">
        <v>0</v>
      </c>
      <c r="X33" s="59">
        <f t="shared" si="6"/>
        <v>0</v>
      </c>
      <c r="Y33" s="59">
        <f t="shared" si="7"/>
        <v>0</v>
      </c>
      <c r="Z33" s="60">
        <v>82</v>
      </c>
      <c r="AA33" s="60">
        <v>65</v>
      </c>
      <c r="AB33" s="60">
        <v>70</v>
      </c>
      <c r="AC33" s="60">
        <v>25.2</v>
      </c>
      <c r="AD33" s="60">
        <v>35</v>
      </c>
      <c r="AE33" s="60">
        <v>22</v>
      </c>
      <c r="AF33" s="60">
        <v>82.2</v>
      </c>
      <c r="AG33" s="60">
        <v>299.2</v>
      </c>
    </row>
    <row r="34" spans="1:33">
      <c r="A34" s="54" t="s">
        <v>269</v>
      </c>
      <c r="B34" s="59">
        <v>80</v>
      </c>
      <c r="C34" s="59">
        <v>80</v>
      </c>
      <c r="D34" s="59">
        <v>36</v>
      </c>
      <c r="E34" s="59">
        <v>44</v>
      </c>
      <c r="F34" s="59">
        <v>45</v>
      </c>
      <c r="G34" s="59">
        <v>22</v>
      </c>
      <c r="H34" s="59">
        <v>111</v>
      </c>
      <c r="I34" s="59">
        <v>307</v>
      </c>
      <c r="J34" s="62">
        <v>80</v>
      </c>
      <c r="K34" s="62">
        <v>63</v>
      </c>
      <c r="L34" s="62">
        <v>31</v>
      </c>
      <c r="M34" s="62">
        <v>32</v>
      </c>
      <c r="N34" s="62">
        <v>44</v>
      </c>
      <c r="O34" s="62">
        <v>23</v>
      </c>
      <c r="P34" s="59">
        <f t="shared" si="0"/>
        <v>99</v>
      </c>
      <c r="Q34" s="59">
        <f t="shared" si="1"/>
        <v>273</v>
      </c>
      <c r="R34" s="62">
        <v>78</v>
      </c>
      <c r="S34" s="62">
        <v>73</v>
      </c>
      <c r="T34" s="62">
        <v>47</v>
      </c>
      <c r="U34" s="62">
        <v>36.1</v>
      </c>
      <c r="V34" s="62">
        <v>24</v>
      </c>
      <c r="W34" s="62">
        <v>28</v>
      </c>
      <c r="X34" s="59">
        <f t="shared" si="6"/>
        <v>88.1</v>
      </c>
      <c r="Y34" s="59">
        <f t="shared" si="7"/>
        <v>286.1</v>
      </c>
      <c r="Z34" s="60">
        <v>80</v>
      </c>
      <c r="AA34" s="60">
        <v>79</v>
      </c>
      <c r="AB34" s="60">
        <v>50</v>
      </c>
      <c r="AC34" s="60">
        <v>40.6</v>
      </c>
      <c r="AD34" s="60">
        <v>40</v>
      </c>
      <c r="AE34" s="60">
        <v>25</v>
      </c>
      <c r="AF34" s="60">
        <v>105.6</v>
      </c>
      <c r="AG34" s="60">
        <v>314.6</v>
      </c>
    </row>
    <row r="35" spans="1:33">
      <c r="A35" s="54" t="s">
        <v>270</v>
      </c>
      <c r="B35" s="59">
        <v>70</v>
      </c>
      <c r="C35" s="59">
        <v>78</v>
      </c>
      <c r="D35" s="59">
        <v>50</v>
      </c>
      <c r="E35" s="59">
        <v>53</v>
      </c>
      <c r="F35" s="59">
        <v>40</v>
      </c>
      <c r="G35" s="59">
        <v>17</v>
      </c>
      <c r="H35" s="59">
        <v>110</v>
      </c>
      <c r="I35" s="59">
        <v>308</v>
      </c>
      <c r="J35" s="62">
        <v>68</v>
      </c>
      <c r="K35" s="62">
        <v>79</v>
      </c>
      <c r="L35" s="62">
        <v>44</v>
      </c>
      <c r="M35" s="62">
        <v>34</v>
      </c>
      <c r="N35" s="62">
        <v>45.4</v>
      </c>
      <c r="O35" s="62">
        <v>21</v>
      </c>
      <c r="P35" s="59">
        <f t="shared" si="0"/>
        <v>100.4</v>
      </c>
      <c r="Q35" s="59">
        <f t="shared" si="1"/>
        <v>291.4</v>
      </c>
      <c r="R35" s="62">
        <v>80</v>
      </c>
      <c r="S35" s="62">
        <v>96</v>
      </c>
      <c r="T35" s="62">
        <v>50</v>
      </c>
      <c r="U35" s="62">
        <v>36.1</v>
      </c>
      <c r="V35" s="62">
        <v>33</v>
      </c>
      <c r="W35" s="62">
        <v>26</v>
      </c>
      <c r="X35" s="59">
        <f t="shared" si="6"/>
        <v>95.1</v>
      </c>
      <c r="Y35" s="59">
        <f t="shared" si="7"/>
        <v>321.1</v>
      </c>
      <c r="Z35" s="60">
        <v>70</v>
      </c>
      <c r="AA35" s="60">
        <v>85</v>
      </c>
      <c r="AB35" s="60">
        <v>54</v>
      </c>
      <c r="AC35" s="60">
        <v>38.9</v>
      </c>
      <c r="AD35" s="60">
        <v>36</v>
      </c>
      <c r="AE35" s="60">
        <v>24</v>
      </c>
      <c r="AF35" s="60">
        <v>98.9</v>
      </c>
      <c r="AG35" s="60">
        <v>307.9</v>
      </c>
    </row>
    <row r="36" spans="1:33">
      <c r="A36" s="54" t="s">
        <v>271</v>
      </c>
      <c r="B36" s="59">
        <v>70</v>
      </c>
      <c r="C36" s="59">
        <v>78</v>
      </c>
      <c r="D36" s="59">
        <v>45</v>
      </c>
      <c r="E36" s="59">
        <v>19</v>
      </c>
      <c r="F36" s="59">
        <v>24</v>
      </c>
      <c r="G36" s="59">
        <v>15</v>
      </c>
      <c r="H36" s="59">
        <v>58</v>
      </c>
      <c r="I36" s="59">
        <v>251</v>
      </c>
      <c r="J36" s="62">
        <v>80</v>
      </c>
      <c r="K36" s="62">
        <v>93</v>
      </c>
      <c r="L36" s="62">
        <v>49</v>
      </c>
      <c r="M36" s="62">
        <v>21</v>
      </c>
      <c r="N36" s="62">
        <v>33.6</v>
      </c>
      <c r="O36" s="62">
        <v>19</v>
      </c>
      <c r="P36" s="59">
        <f t="shared" si="0"/>
        <v>73.6</v>
      </c>
      <c r="Q36" s="59">
        <f t="shared" si="1"/>
        <v>295.6</v>
      </c>
      <c r="R36" s="62">
        <v>84</v>
      </c>
      <c r="S36" s="62">
        <v>99</v>
      </c>
      <c r="T36" s="62">
        <v>52</v>
      </c>
      <c r="U36" s="62">
        <v>35.5</v>
      </c>
      <c r="V36" s="62">
        <v>26</v>
      </c>
      <c r="W36" s="62">
        <v>20</v>
      </c>
      <c r="X36" s="59">
        <f t="shared" si="6"/>
        <v>81.5</v>
      </c>
      <c r="Y36" s="59">
        <f t="shared" si="7"/>
        <v>316.5</v>
      </c>
      <c r="Z36" s="60">
        <v>80</v>
      </c>
      <c r="AA36" s="60">
        <v>95</v>
      </c>
      <c r="AB36" s="60">
        <v>57</v>
      </c>
      <c r="AC36" s="60">
        <v>31.3</v>
      </c>
      <c r="AD36" s="60">
        <v>25</v>
      </c>
      <c r="AE36" s="60">
        <v>16</v>
      </c>
      <c r="AF36" s="60">
        <v>72.3</v>
      </c>
      <c r="AG36" s="60">
        <v>304.3</v>
      </c>
    </row>
    <row r="37" spans="1:33">
      <c r="A37" s="54" t="s">
        <v>272</v>
      </c>
      <c r="B37" s="59">
        <v>82</v>
      </c>
      <c r="C37" s="59">
        <v>61</v>
      </c>
      <c r="D37" s="59">
        <v>50</v>
      </c>
      <c r="E37" s="59">
        <v>31</v>
      </c>
      <c r="F37" s="59">
        <v>35</v>
      </c>
      <c r="G37" s="59">
        <v>19</v>
      </c>
      <c r="H37" s="59">
        <v>85</v>
      </c>
      <c r="I37" s="59">
        <v>278</v>
      </c>
      <c r="J37" s="62">
        <v>76</v>
      </c>
      <c r="K37" s="62">
        <v>85</v>
      </c>
      <c r="L37" s="62">
        <v>72</v>
      </c>
      <c r="M37" s="62">
        <v>18</v>
      </c>
      <c r="N37" s="62">
        <v>28.5</v>
      </c>
      <c r="O37" s="62">
        <v>16</v>
      </c>
      <c r="P37" s="59">
        <f t="shared" si="0"/>
        <v>62.5</v>
      </c>
      <c r="Q37" s="59">
        <f t="shared" si="1"/>
        <v>295.5</v>
      </c>
      <c r="R37" s="62">
        <v>54</v>
      </c>
      <c r="S37" s="62">
        <v>86</v>
      </c>
      <c r="T37" s="62">
        <v>57</v>
      </c>
      <c r="U37" s="62">
        <v>33.7</v>
      </c>
      <c r="V37" s="62">
        <v>16</v>
      </c>
      <c r="W37" s="62">
        <v>23</v>
      </c>
      <c r="X37" s="59">
        <f t="shared" si="6"/>
        <v>72.7</v>
      </c>
      <c r="Y37" s="59">
        <f t="shared" si="7"/>
        <v>269.7</v>
      </c>
      <c r="Z37" s="60">
        <v>82</v>
      </c>
      <c r="AA37" s="60">
        <v>95</v>
      </c>
      <c r="AB37" s="60">
        <v>77</v>
      </c>
      <c r="AC37" s="60">
        <v>48</v>
      </c>
      <c r="AD37" s="60">
        <v>29</v>
      </c>
      <c r="AE37" s="60">
        <v>22</v>
      </c>
      <c r="AF37" s="60">
        <v>99</v>
      </c>
      <c r="AG37" s="60">
        <v>353</v>
      </c>
    </row>
    <row r="38" spans="1:33">
      <c r="A38" s="54" t="s">
        <v>273</v>
      </c>
      <c r="B38" s="59">
        <v>94</v>
      </c>
      <c r="C38" s="59">
        <v>99</v>
      </c>
      <c r="D38" s="59">
        <v>87</v>
      </c>
      <c r="E38" s="59">
        <v>55</v>
      </c>
      <c r="F38" s="59">
        <v>58</v>
      </c>
      <c r="G38" s="59">
        <v>24</v>
      </c>
      <c r="H38" s="59">
        <v>137</v>
      </c>
      <c r="I38" s="59">
        <v>417</v>
      </c>
      <c r="J38" s="62">
        <v>90</v>
      </c>
      <c r="K38" s="62">
        <v>96</v>
      </c>
      <c r="L38" s="62">
        <v>88</v>
      </c>
      <c r="M38" s="63" t="s">
        <v>274</v>
      </c>
      <c r="N38" s="62">
        <v>51.3</v>
      </c>
      <c r="O38" s="62">
        <v>26</v>
      </c>
      <c r="P38" s="59" t="e">
        <f t="shared" si="0"/>
        <v>#VALUE!</v>
      </c>
      <c r="Q38" s="59" t="e">
        <f t="shared" si="1"/>
        <v>#VALUE!</v>
      </c>
      <c r="R38" s="62">
        <v>90</v>
      </c>
      <c r="S38" s="62">
        <v>96</v>
      </c>
      <c r="T38" s="62">
        <v>78</v>
      </c>
      <c r="U38" s="62">
        <v>46.4</v>
      </c>
      <c r="V38" s="62">
        <v>37</v>
      </c>
      <c r="W38" s="62">
        <v>24</v>
      </c>
      <c r="X38" s="59">
        <f t="shared" si="6"/>
        <v>107.4</v>
      </c>
      <c r="Y38" s="59">
        <f t="shared" si="7"/>
        <v>371.4</v>
      </c>
      <c r="Z38" s="60">
        <v>94</v>
      </c>
      <c r="AA38" s="60">
        <v>96</v>
      </c>
      <c r="AB38" s="60">
        <v>85</v>
      </c>
      <c r="AC38" s="60">
        <v>49.7</v>
      </c>
      <c r="AD38" s="60">
        <v>53</v>
      </c>
      <c r="AE38" s="60">
        <v>25</v>
      </c>
      <c r="AF38" s="60">
        <v>127.7</v>
      </c>
      <c r="AG38" s="60">
        <v>402.7</v>
      </c>
    </row>
    <row r="39" spans="1:33">
      <c r="A39" s="54" t="s">
        <v>275</v>
      </c>
      <c r="B39" s="59">
        <v>74</v>
      </c>
      <c r="C39" s="59">
        <v>85</v>
      </c>
      <c r="D39" s="59">
        <v>61</v>
      </c>
      <c r="E39" s="59">
        <v>47</v>
      </c>
      <c r="F39" s="59">
        <v>47</v>
      </c>
      <c r="G39" s="59">
        <v>22</v>
      </c>
      <c r="H39" s="59">
        <v>116</v>
      </c>
      <c r="I39" s="59">
        <v>336</v>
      </c>
      <c r="J39" s="59">
        <v>0</v>
      </c>
      <c r="K39" s="59"/>
      <c r="L39" s="59"/>
      <c r="M39" s="59"/>
      <c r="N39" s="59"/>
      <c r="O39" s="59"/>
      <c r="P39" s="59">
        <f t="shared" si="0"/>
        <v>0</v>
      </c>
      <c r="Q39" s="59">
        <f t="shared" si="1"/>
        <v>0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f t="shared" si="6"/>
        <v>0</v>
      </c>
      <c r="Y39" s="59">
        <f t="shared" si="7"/>
        <v>0</v>
      </c>
      <c r="Z39" s="61" t="s">
        <v>50</v>
      </c>
      <c r="AA39" s="61" t="s">
        <v>50</v>
      </c>
      <c r="AB39" s="61" t="s">
        <v>50</v>
      </c>
      <c r="AC39" s="61" t="s">
        <v>50</v>
      </c>
      <c r="AD39" s="61" t="s">
        <v>50</v>
      </c>
      <c r="AE39" s="61" t="s">
        <v>50</v>
      </c>
      <c r="AF39" s="61" t="s">
        <v>50</v>
      </c>
      <c r="AG39" s="61" t="s">
        <v>50</v>
      </c>
    </row>
    <row r="40" spans="1:33">
      <c r="A40" s="54" t="s">
        <v>276</v>
      </c>
      <c r="B40" s="63" t="s">
        <v>50</v>
      </c>
      <c r="C40" s="59"/>
      <c r="D40" s="59"/>
      <c r="E40" s="59"/>
      <c r="F40" s="59"/>
      <c r="G40" s="59"/>
      <c r="H40" s="59"/>
      <c r="I40" s="59"/>
      <c r="J40" s="62">
        <v>82</v>
      </c>
      <c r="K40" s="64">
        <v>75</v>
      </c>
      <c r="L40" s="64">
        <v>73</v>
      </c>
      <c r="M40" s="64">
        <v>29</v>
      </c>
      <c r="N40" s="64">
        <v>36.2</v>
      </c>
      <c r="O40" s="64">
        <v>21</v>
      </c>
      <c r="P40" s="59">
        <f t="shared" si="0"/>
        <v>86.2</v>
      </c>
      <c r="Q40" s="59">
        <f t="shared" si="1"/>
        <v>316.2</v>
      </c>
      <c r="R40" s="62">
        <v>80</v>
      </c>
      <c r="S40" s="64">
        <v>61</v>
      </c>
      <c r="T40" s="64">
        <v>62</v>
      </c>
      <c r="U40" s="64">
        <v>33.8</v>
      </c>
      <c r="V40" s="64">
        <v>24</v>
      </c>
      <c r="W40" s="64">
        <v>22</v>
      </c>
      <c r="X40" s="59">
        <f t="shared" si="6"/>
        <v>79.8</v>
      </c>
      <c r="Y40" s="59">
        <f t="shared" si="7"/>
        <v>282.8</v>
      </c>
      <c r="Z40" s="60">
        <v>88</v>
      </c>
      <c r="AA40" s="60">
        <v>63</v>
      </c>
      <c r="AB40" s="60">
        <v>61</v>
      </c>
      <c r="AC40" s="60">
        <v>36.4</v>
      </c>
      <c r="AD40" s="60">
        <v>34</v>
      </c>
      <c r="AE40" s="60">
        <v>18</v>
      </c>
      <c r="AF40" s="60">
        <v>88.4</v>
      </c>
      <c r="AG40" s="60">
        <v>300.4</v>
      </c>
    </row>
    <row r="41" spans="1:33">
      <c r="A41" s="54" t="s">
        <v>277</v>
      </c>
      <c r="B41" s="63" t="s">
        <v>50</v>
      </c>
      <c r="C41" s="59"/>
      <c r="D41" s="59"/>
      <c r="E41" s="59"/>
      <c r="F41" s="59"/>
      <c r="G41" s="59"/>
      <c r="H41" s="59"/>
      <c r="I41" s="59"/>
      <c r="J41" s="62">
        <v>50</v>
      </c>
      <c r="K41" s="64">
        <v>79</v>
      </c>
      <c r="L41" s="64">
        <v>74</v>
      </c>
      <c r="M41" s="64">
        <v>31</v>
      </c>
      <c r="N41" s="64">
        <v>27.5</v>
      </c>
      <c r="O41" s="64">
        <v>19</v>
      </c>
      <c r="P41" s="59">
        <f t="shared" si="0"/>
        <v>77.5</v>
      </c>
      <c r="Q41" s="59">
        <f t="shared" si="1"/>
        <v>280.5</v>
      </c>
      <c r="R41" s="62">
        <v>96</v>
      </c>
      <c r="S41" s="64">
        <v>89</v>
      </c>
      <c r="T41" s="64">
        <v>80</v>
      </c>
      <c r="U41" s="64">
        <v>52.4</v>
      </c>
      <c r="V41" s="64">
        <v>24</v>
      </c>
      <c r="W41" s="64">
        <v>21</v>
      </c>
      <c r="X41" s="59">
        <f t="shared" si="6"/>
        <v>97.4</v>
      </c>
      <c r="Y41" s="59">
        <f t="shared" si="7"/>
        <v>362.4</v>
      </c>
      <c r="Z41" s="61" t="s">
        <v>50</v>
      </c>
      <c r="AA41" s="61" t="s">
        <v>50</v>
      </c>
      <c r="AB41" s="61" t="s">
        <v>50</v>
      </c>
      <c r="AC41" s="61" t="s">
        <v>50</v>
      </c>
      <c r="AD41" s="61" t="s">
        <v>50</v>
      </c>
      <c r="AE41" s="61" t="s">
        <v>50</v>
      </c>
      <c r="AF41" s="61" t="s">
        <v>50</v>
      </c>
      <c r="AG41" s="61" t="s">
        <v>50</v>
      </c>
    </row>
    <row r="42" spans="1:33">
      <c r="A42" s="54" t="s">
        <v>278</v>
      </c>
      <c r="B42" s="63" t="s">
        <v>50</v>
      </c>
      <c r="C42" s="59"/>
      <c r="D42" s="59"/>
      <c r="E42" s="59"/>
      <c r="F42" s="59"/>
      <c r="G42" s="59"/>
      <c r="H42" s="59"/>
      <c r="I42" s="59"/>
      <c r="J42" s="62">
        <v>82</v>
      </c>
      <c r="K42" s="64">
        <v>84</v>
      </c>
      <c r="L42" s="64">
        <v>70</v>
      </c>
      <c r="M42" s="64">
        <v>19</v>
      </c>
      <c r="N42" s="64">
        <v>33.5</v>
      </c>
      <c r="O42" s="64">
        <v>18</v>
      </c>
      <c r="P42" s="59">
        <f t="shared" si="0"/>
        <v>70.5</v>
      </c>
      <c r="Q42" s="59">
        <f t="shared" si="1"/>
        <v>306.5</v>
      </c>
      <c r="R42" s="62">
        <v>94</v>
      </c>
      <c r="S42" s="64">
        <v>80</v>
      </c>
      <c r="T42" s="64">
        <v>61</v>
      </c>
      <c r="U42" s="64">
        <v>29.5</v>
      </c>
      <c r="V42" s="64">
        <v>27</v>
      </c>
      <c r="W42" s="64">
        <v>27</v>
      </c>
      <c r="X42" s="59">
        <f t="shared" si="6"/>
        <v>83.5</v>
      </c>
      <c r="Y42" s="59">
        <f t="shared" si="7"/>
        <v>318.5</v>
      </c>
      <c r="Z42" s="60">
        <v>98</v>
      </c>
      <c r="AA42" s="60">
        <v>68</v>
      </c>
      <c r="AB42" s="60">
        <v>81</v>
      </c>
      <c r="AC42" s="60">
        <v>43.6</v>
      </c>
      <c r="AD42" s="60">
        <v>25</v>
      </c>
      <c r="AE42" s="60">
        <v>24</v>
      </c>
      <c r="AF42" s="60">
        <v>92.6</v>
      </c>
      <c r="AG42" s="60">
        <v>339.6</v>
      </c>
    </row>
    <row r="43" spans="1:33">
      <c r="A43" s="54" t="s">
        <v>279</v>
      </c>
      <c r="B43" s="63" t="s">
        <v>50</v>
      </c>
      <c r="C43" s="59"/>
      <c r="D43" s="59"/>
      <c r="E43" s="59"/>
      <c r="F43" s="59"/>
      <c r="G43" s="59"/>
      <c r="H43" s="59"/>
      <c r="I43" s="59"/>
      <c r="J43" s="62">
        <v>46</v>
      </c>
      <c r="K43" s="62">
        <v>51</v>
      </c>
      <c r="L43" s="62">
        <v>72</v>
      </c>
      <c r="M43" s="62">
        <v>23</v>
      </c>
      <c r="N43" s="62">
        <v>24.4</v>
      </c>
      <c r="O43" s="62">
        <v>19</v>
      </c>
      <c r="P43" s="59">
        <f t="shared" si="0"/>
        <v>66.4</v>
      </c>
      <c r="Q43" s="59">
        <f t="shared" si="1"/>
        <v>235.4</v>
      </c>
      <c r="R43" s="62">
        <v>52</v>
      </c>
      <c r="S43" s="62">
        <v>51</v>
      </c>
      <c r="T43" s="62">
        <v>56</v>
      </c>
      <c r="U43" s="62">
        <v>45.5</v>
      </c>
      <c r="V43" s="62">
        <v>24</v>
      </c>
      <c r="W43" s="63">
        <v>18</v>
      </c>
      <c r="X43" s="59">
        <f t="shared" si="6"/>
        <v>87.5</v>
      </c>
      <c r="Y43" s="59">
        <f t="shared" si="7"/>
        <v>246.5</v>
      </c>
      <c r="Z43" s="60">
        <v>64</v>
      </c>
      <c r="AA43" s="60">
        <v>51</v>
      </c>
      <c r="AB43" s="60">
        <v>64</v>
      </c>
      <c r="AC43" s="60">
        <v>18.1</v>
      </c>
      <c r="AD43" s="60">
        <v>20</v>
      </c>
      <c r="AE43" s="60">
        <v>17</v>
      </c>
      <c r="AF43" s="60">
        <v>55.1</v>
      </c>
      <c r="AG43" s="60">
        <v>234.1</v>
      </c>
    </row>
    <row r="44" spans="1:33">
      <c r="A44" s="53" t="s">
        <v>280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60">
        <v>78</v>
      </c>
      <c r="AA44" s="60">
        <v>56</v>
      </c>
      <c r="AB44" s="60">
        <v>66</v>
      </c>
      <c r="AC44" s="60">
        <v>28.5</v>
      </c>
      <c r="AD44" s="60">
        <v>25</v>
      </c>
      <c r="AE44" s="60">
        <v>21</v>
      </c>
      <c r="AF44" s="60">
        <v>74.5</v>
      </c>
      <c r="AG44" s="60">
        <v>274.5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I1"/>
    <mergeCell ref="J1:Q1"/>
    <mergeCell ref="R1:Y1"/>
    <mergeCell ref="Z1:A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1"/>
  <sheetViews>
    <sheetView zoomScale="85" zoomScaleNormal="85" workbookViewId="0">
      <pane xSplit="1" ySplit="2" topLeftCell="C3" activePane="bottomRight" state="frozen"/>
      <selection/>
      <selection pane="topRight"/>
      <selection pane="bottomLeft"/>
      <selection pane="bottomRight" activeCell="F2" sqref="F2"/>
    </sheetView>
  </sheetViews>
  <sheetFormatPr defaultColWidth="9.64166666666667" defaultRowHeight="13.5"/>
  <cols>
    <col min="1" max="1" width="11.25" customWidth="1"/>
    <col min="2" max="2" width="8.875" customWidth="1"/>
    <col min="3" max="4" width="5.125" customWidth="1"/>
    <col min="5" max="9" width="8.875" customWidth="1"/>
    <col min="10" max="12" width="5.125" customWidth="1"/>
    <col min="13" max="17" width="8.875" customWidth="1"/>
    <col min="18" max="18" width="6.375" customWidth="1"/>
    <col min="19" max="20" width="5.125" customWidth="1"/>
    <col min="21" max="25" width="8.875" customWidth="1"/>
    <col min="26" max="26" width="6.375" customWidth="1"/>
    <col min="27" max="28" width="5.125" customWidth="1"/>
    <col min="29" max="33" width="8.875" customWidth="1"/>
    <col min="34" max="34" width="6.375" customWidth="1"/>
  </cols>
  <sheetData>
    <row r="1" ht="37.5" spans="1:34">
      <c r="A1" s="42"/>
      <c r="B1" s="5" t="s">
        <v>281</v>
      </c>
      <c r="C1" s="53" t="s">
        <v>0</v>
      </c>
      <c r="D1" s="54"/>
      <c r="E1" s="54"/>
      <c r="F1" s="54"/>
      <c r="G1" s="54"/>
      <c r="H1" s="54"/>
      <c r="I1" s="54"/>
      <c r="J1" s="54"/>
      <c r="K1" s="53" t="s">
        <v>1</v>
      </c>
      <c r="L1" s="54"/>
      <c r="M1" s="54"/>
      <c r="N1" s="54"/>
      <c r="O1" s="54"/>
      <c r="P1" s="54"/>
      <c r="Q1" s="54"/>
      <c r="R1" s="54"/>
      <c r="S1" s="53" t="s">
        <v>2</v>
      </c>
      <c r="T1" s="54"/>
      <c r="U1" s="54"/>
      <c r="V1" s="54"/>
      <c r="W1" s="54"/>
      <c r="X1" s="54"/>
      <c r="Y1" s="54"/>
      <c r="Z1" s="54"/>
      <c r="AA1" s="53" t="s">
        <v>3</v>
      </c>
      <c r="AB1" s="54"/>
      <c r="AC1" s="54"/>
      <c r="AD1" s="54"/>
      <c r="AE1" s="54"/>
      <c r="AF1" s="54"/>
      <c r="AG1" s="54"/>
      <c r="AH1" s="54"/>
    </row>
    <row r="2" ht="18.75" spans="1:34">
      <c r="A2" s="46" t="s">
        <v>4</v>
      </c>
      <c r="B2" s="2" t="s">
        <v>7</v>
      </c>
      <c r="C2" s="2" t="s">
        <v>5</v>
      </c>
      <c r="D2" s="2" t="s">
        <v>6</v>
      </c>
      <c r="E2" s="2" t="s">
        <v>7</v>
      </c>
      <c r="F2" s="16" t="s">
        <v>41</v>
      </c>
      <c r="G2" s="16" t="s">
        <v>237</v>
      </c>
      <c r="H2" s="16" t="s">
        <v>104</v>
      </c>
      <c r="I2" s="16" t="s">
        <v>10</v>
      </c>
      <c r="J2" s="16" t="s">
        <v>11</v>
      </c>
      <c r="K2" s="2" t="s">
        <v>5</v>
      </c>
      <c r="L2" s="2" t="s">
        <v>6</v>
      </c>
      <c r="M2" s="2" t="s">
        <v>7</v>
      </c>
      <c r="N2" s="16" t="s">
        <v>41</v>
      </c>
      <c r="O2" s="16" t="s">
        <v>237</v>
      </c>
      <c r="P2" s="16" t="s">
        <v>104</v>
      </c>
      <c r="Q2" s="16" t="s">
        <v>10</v>
      </c>
      <c r="R2" s="16" t="s">
        <v>11</v>
      </c>
      <c r="S2" s="2" t="s">
        <v>5</v>
      </c>
      <c r="T2" s="2" t="s">
        <v>6</v>
      </c>
      <c r="U2" s="2" t="s">
        <v>7</v>
      </c>
      <c r="V2" s="16" t="s">
        <v>41</v>
      </c>
      <c r="W2" s="16" t="s">
        <v>237</v>
      </c>
      <c r="X2" s="16" t="s">
        <v>104</v>
      </c>
      <c r="Y2" s="16" t="s">
        <v>10</v>
      </c>
      <c r="Z2" s="16" t="s">
        <v>11</v>
      </c>
      <c r="AA2" s="2" t="s">
        <v>5</v>
      </c>
      <c r="AB2" s="2" t="s">
        <v>6</v>
      </c>
      <c r="AC2" s="2" t="s">
        <v>7</v>
      </c>
      <c r="AD2" s="16" t="s">
        <v>41</v>
      </c>
      <c r="AE2" s="16" t="s">
        <v>237</v>
      </c>
      <c r="AF2" s="16" t="s">
        <v>104</v>
      </c>
      <c r="AG2" s="16" t="s">
        <v>10</v>
      </c>
      <c r="AH2" s="16" t="s">
        <v>11</v>
      </c>
    </row>
    <row r="3" ht="18.75" spans="1:34">
      <c r="A3" s="46" t="s">
        <v>248</v>
      </c>
      <c r="B3" s="2">
        <v>50</v>
      </c>
      <c r="C3" s="55">
        <v>74</v>
      </c>
      <c r="D3" s="55">
        <v>97</v>
      </c>
      <c r="E3" s="55">
        <v>80</v>
      </c>
      <c r="F3" s="55">
        <v>37</v>
      </c>
      <c r="G3" s="55">
        <v>51</v>
      </c>
      <c r="H3" s="55">
        <v>24</v>
      </c>
      <c r="I3" s="55">
        <v>112</v>
      </c>
      <c r="J3" s="55">
        <v>363</v>
      </c>
      <c r="K3" s="55">
        <v>74</v>
      </c>
      <c r="L3" s="55">
        <v>94</v>
      </c>
      <c r="M3" s="55">
        <v>88</v>
      </c>
      <c r="N3" s="55">
        <v>36</v>
      </c>
      <c r="O3" s="55">
        <v>44.5</v>
      </c>
      <c r="P3" s="55">
        <v>18</v>
      </c>
      <c r="Q3" s="55">
        <v>98.5</v>
      </c>
      <c r="R3" s="55">
        <v>354.5</v>
      </c>
      <c r="S3" s="55">
        <v>78</v>
      </c>
      <c r="T3" s="55">
        <v>99</v>
      </c>
      <c r="U3" s="55">
        <v>86</v>
      </c>
      <c r="V3" s="55">
        <v>36</v>
      </c>
      <c r="W3" s="55">
        <v>53.9</v>
      </c>
      <c r="X3" s="55">
        <v>21</v>
      </c>
      <c r="Y3" s="55">
        <v>110.9</v>
      </c>
      <c r="Z3" s="56">
        <v>373.9</v>
      </c>
      <c r="AA3" s="55">
        <v>80</v>
      </c>
      <c r="AB3" s="55">
        <v>97</v>
      </c>
      <c r="AC3" s="55">
        <v>65</v>
      </c>
      <c r="AD3" s="55">
        <v>40</v>
      </c>
      <c r="AE3" s="55">
        <v>48.2</v>
      </c>
      <c r="AF3" s="55">
        <v>17</v>
      </c>
      <c r="AG3" s="55">
        <v>105.2</v>
      </c>
      <c r="AH3" s="55">
        <v>347.2</v>
      </c>
    </row>
    <row r="4" ht="18.75" spans="1:34">
      <c r="A4" s="46" t="s">
        <v>282</v>
      </c>
      <c r="B4" s="2">
        <v>23</v>
      </c>
      <c r="C4" s="55">
        <v>80</v>
      </c>
      <c r="D4" s="55">
        <v>90</v>
      </c>
      <c r="E4" s="55">
        <v>66</v>
      </c>
      <c r="F4" s="55">
        <v>32</v>
      </c>
      <c r="G4" s="55">
        <v>49</v>
      </c>
      <c r="H4" s="55">
        <v>21</v>
      </c>
      <c r="I4" s="55">
        <v>102</v>
      </c>
      <c r="J4" s="55">
        <v>338</v>
      </c>
      <c r="K4" s="55">
        <v>74</v>
      </c>
      <c r="L4" s="55">
        <v>92</v>
      </c>
      <c r="M4" s="55">
        <v>61</v>
      </c>
      <c r="N4" s="55">
        <v>33</v>
      </c>
      <c r="O4" s="55">
        <v>51.4</v>
      </c>
      <c r="P4" s="55">
        <v>19</v>
      </c>
      <c r="Q4" s="55">
        <v>103.4</v>
      </c>
      <c r="R4" s="55">
        <v>330.4</v>
      </c>
      <c r="S4" s="55">
        <v>88</v>
      </c>
      <c r="T4" s="55">
        <v>91</v>
      </c>
      <c r="U4" s="55">
        <v>54</v>
      </c>
      <c r="V4" s="55">
        <v>23</v>
      </c>
      <c r="W4" s="55">
        <v>45.5</v>
      </c>
      <c r="X4" s="55">
        <v>25</v>
      </c>
      <c r="Y4" s="55">
        <v>93.5</v>
      </c>
      <c r="Z4" s="56">
        <v>326.5</v>
      </c>
      <c r="AA4" s="55">
        <v>90</v>
      </c>
      <c r="AB4" s="55">
        <v>90</v>
      </c>
      <c r="AC4" s="55">
        <v>59</v>
      </c>
      <c r="AD4" s="55">
        <v>37</v>
      </c>
      <c r="AE4" s="55">
        <v>45.5</v>
      </c>
      <c r="AF4" s="55">
        <v>20</v>
      </c>
      <c r="AG4" s="55">
        <v>102.5</v>
      </c>
      <c r="AH4" s="55">
        <v>341.5</v>
      </c>
    </row>
    <row r="5" ht="18.75" spans="1:34">
      <c r="A5" s="46" t="s">
        <v>283</v>
      </c>
      <c r="B5" s="2">
        <v>34</v>
      </c>
      <c r="C5" s="55">
        <v>70</v>
      </c>
      <c r="D5" s="55">
        <v>83</v>
      </c>
      <c r="E5" s="55">
        <v>70</v>
      </c>
      <c r="F5" s="55">
        <v>35</v>
      </c>
      <c r="G5" s="55">
        <v>20</v>
      </c>
      <c r="H5" s="55">
        <v>22</v>
      </c>
      <c r="I5" s="55">
        <v>77</v>
      </c>
      <c r="J5" s="55">
        <v>300</v>
      </c>
      <c r="K5" s="55">
        <v>68</v>
      </c>
      <c r="L5" s="55">
        <v>92</v>
      </c>
      <c r="M5" s="55">
        <v>69</v>
      </c>
      <c r="N5" s="55">
        <v>31</v>
      </c>
      <c r="O5" s="55">
        <v>28.6</v>
      </c>
      <c r="P5" s="55">
        <v>24</v>
      </c>
      <c r="Q5" s="55">
        <v>83.6</v>
      </c>
      <c r="R5" s="55">
        <v>312.6</v>
      </c>
      <c r="S5" s="55">
        <v>86</v>
      </c>
      <c r="T5" s="55">
        <v>84</v>
      </c>
      <c r="U5" s="55">
        <v>65</v>
      </c>
      <c r="V5" s="55">
        <v>20</v>
      </c>
      <c r="W5" s="55">
        <v>27.4</v>
      </c>
      <c r="X5" s="55">
        <v>24</v>
      </c>
      <c r="Y5" s="55">
        <v>71.4</v>
      </c>
      <c r="Z5" s="56">
        <v>306.4</v>
      </c>
      <c r="AA5" s="55">
        <v>86</v>
      </c>
      <c r="AB5" s="55">
        <v>96</v>
      </c>
      <c r="AC5" s="55">
        <v>58</v>
      </c>
      <c r="AD5" s="55">
        <v>30</v>
      </c>
      <c r="AE5" s="55">
        <v>30.4</v>
      </c>
      <c r="AF5" s="55">
        <v>16</v>
      </c>
      <c r="AG5" s="55">
        <v>76.4</v>
      </c>
      <c r="AH5" s="55">
        <v>316.4</v>
      </c>
    </row>
    <row r="6" ht="18.75" spans="1:34">
      <c r="A6" s="46" t="s">
        <v>284</v>
      </c>
      <c r="B6" s="2">
        <v>67</v>
      </c>
      <c r="C6" s="55">
        <v>82</v>
      </c>
      <c r="D6" s="55">
        <v>88</v>
      </c>
      <c r="E6" s="55">
        <v>86</v>
      </c>
      <c r="F6" s="55">
        <v>33</v>
      </c>
      <c r="G6" s="55">
        <v>34</v>
      </c>
      <c r="H6" s="55">
        <v>17</v>
      </c>
      <c r="I6" s="55">
        <v>84</v>
      </c>
      <c r="J6" s="55">
        <v>340</v>
      </c>
      <c r="K6" s="55">
        <v>72</v>
      </c>
      <c r="L6" s="55">
        <v>87</v>
      </c>
      <c r="M6" s="55">
        <v>82</v>
      </c>
      <c r="N6" s="55">
        <v>33</v>
      </c>
      <c r="O6" s="55">
        <v>34.4</v>
      </c>
      <c r="P6" s="55">
        <v>17</v>
      </c>
      <c r="Q6" s="55">
        <v>84.4</v>
      </c>
      <c r="R6" s="55">
        <v>325.4</v>
      </c>
      <c r="S6" s="55">
        <v>88</v>
      </c>
      <c r="T6" s="55">
        <v>84</v>
      </c>
      <c r="U6" s="55">
        <v>89</v>
      </c>
      <c r="V6" s="55">
        <v>35</v>
      </c>
      <c r="W6" s="55">
        <v>32.2</v>
      </c>
      <c r="X6" s="55">
        <v>24</v>
      </c>
      <c r="Y6" s="55">
        <v>91.2</v>
      </c>
      <c r="Z6" s="56">
        <v>352.2</v>
      </c>
      <c r="AA6" s="55">
        <v>82</v>
      </c>
      <c r="AB6" s="55">
        <v>80</v>
      </c>
      <c r="AC6" s="55">
        <v>90</v>
      </c>
      <c r="AD6" s="55">
        <v>27</v>
      </c>
      <c r="AE6" s="55">
        <v>28.4</v>
      </c>
      <c r="AF6" s="55">
        <v>19</v>
      </c>
      <c r="AG6" s="55">
        <v>74.4</v>
      </c>
      <c r="AH6" s="55">
        <v>326.4</v>
      </c>
    </row>
    <row r="7" ht="18.75" spans="1:34">
      <c r="A7" s="46" t="s">
        <v>285</v>
      </c>
      <c r="B7" s="2">
        <v>57</v>
      </c>
      <c r="C7" s="55">
        <v>78</v>
      </c>
      <c r="D7" s="55">
        <v>95</v>
      </c>
      <c r="E7" s="55">
        <v>93</v>
      </c>
      <c r="F7" s="55">
        <v>37</v>
      </c>
      <c r="G7" s="55">
        <v>27</v>
      </c>
      <c r="H7" s="55">
        <v>22</v>
      </c>
      <c r="I7" s="55">
        <v>86</v>
      </c>
      <c r="J7" s="55">
        <v>352</v>
      </c>
      <c r="K7" s="55">
        <v>84</v>
      </c>
      <c r="L7" s="55">
        <v>92</v>
      </c>
      <c r="M7" s="55">
        <v>92</v>
      </c>
      <c r="N7" s="55">
        <v>21</v>
      </c>
      <c r="O7" s="55">
        <v>27.8</v>
      </c>
      <c r="P7" s="55">
        <v>19</v>
      </c>
      <c r="Q7" s="55">
        <v>67.8</v>
      </c>
      <c r="R7" s="55">
        <v>335.8</v>
      </c>
      <c r="S7" s="55">
        <v>84</v>
      </c>
      <c r="T7" s="55">
        <v>78</v>
      </c>
      <c r="U7" s="55">
        <v>90</v>
      </c>
      <c r="V7" s="55">
        <v>17</v>
      </c>
      <c r="W7" s="55">
        <v>30.8</v>
      </c>
      <c r="X7" s="55">
        <v>26</v>
      </c>
      <c r="Y7" s="55">
        <v>73.8</v>
      </c>
      <c r="Z7" s="56">
        <v>325.8</v>
      </c>
      <c r="AA7" s="55">
        <v>86</v>
      </c>
      <c r="AB7" s="55">
        <v>85</v>
      </c>
      <c r="AC7" s="55">
        <v>82</v>
      </c>
      <c r="AD7" s="55">
        <v>30</v>
      </c>
      <c r="AE7" s="55">
        <v>26.9</v>
      </c>
      <c r="AF7" s="55">
        <v>20</v>
      </c>
      <c r="AG7" s="55">
        <v>76.9</v>
      </c>
      <c r="AH7" s="55">
        <v>329.9</v>
      </c>
    </row>
    <row r="8" ht="18.75" spans="1:34">
      <c r="A8" s="46" t="s">
        <v>286</v>
      </c>
      <c r="B8" s="2">
        <v>59</v>
      </c>
      <c r="C8" s="55">
        <v>84</v>
      </c>
      <c r="D8" s="55">
        <v>99</v>
      </c>
      <c r="E8" s="55">
        <v>91</v>
      </c>
      <c r="F8" s="55">
        <v>37</v>
      </c>
      <c r="G8" s="55">
        <v>48</v>
      </c>
      <c r="H8" s="55">
        <v>23</v>
      </c>
      <c r="I8" s="55">
        <v>108</v>
      </c>
      <c r="J8" s="55">
        <v>382</v>
      </c>
      <c r="K8" s="55">
        <v>80</v>
      </c>
      <c r="L8" s="55">
        <v>100</v>
      </c>
      <c r="M8" s="55">
        <v>90</v>
      </c>
      <c r="N8" s="55">
        <v>47</v>
      </c>
      <c r="O8" s="55">
        <v>47.3</v>
      </c>
      <c r="P8" s="55">
        <v>23</v>
      </c>
      <c r="Q8" s="55">
        <v>117.3</v>
      </c>
      <c r="R8" s="55">
        <v>387.3</v>
      </c>
      <c r="S8" s="55">
        <v>86</v>
      </c>
      <c r="T8" s="55">
        <v>92</v>
      </c>
      <c r="U8" s="55">
        <v>88</v>
      </c>
      <c r="V8" s="55">
        <v>37</v>
      </c>
      <c r="W8" s="55">
        <v>47.9</v>
      </c>
      <c r="X8" s="55">
        <v>28</v>
      </c>
      <c r="Y8" s="55">
        <v>112.9</v>
      </c>
      <c r="Z8" s="56">
        <v>378.9</v>
      </c>
      <c r="AA8" s="55" t="s">
        <v>50</v>
      </c>
      <c r="AB8" s="55" t="s">
        <v>50</v>
      </c>
      <c r="AC8" s="55" t="s">
        <v>50</v>
      </c>
      <c r="AD8" s="55" t="s">
        <v>50</v>
      </c>
      <c r="AE8" s="55" t="s">
        <v>50</v>
      </c>
      <c r="AF8" s="55" t="s">
        <v>50</v>
      </c>
      <c r="AG8" s="55" t="s">
        <v>50</v>
      </c>
      <c r="AH8" s="55" t="s">
        <v>50</v>
      </c>
    </row>
    <row r="9" ht="18.75" spans="1:34">
      <c r="A9" s="46" t="s">
        <v>287</v>
      </c>
      <c r="B9" s="2">
        <v>62</v>
      </c>
      <c r="C9" s="55">
        <v>92</v>
      </c>
      <c r="D9" s="55">
        <v>90</v>
      </c>
      <c r="E9" s="55">
        <v>92</v>
      </c>
      <c r="F9" s="55">
        <v>43</v>
      </c>
      <c r="G9" s="55">
        <v>45</v>
      </c>
      <c r="H9" s="55">
        <v>25</v>
      </c>
      <c r="I9" s="55">
        <v>113</v>
      </c>
      <c r="J9" s="55">
        <v>387</v>
      </c>
      <c r="K9" s="55">
        <v>76</v>
      </c>
      <c r="L9" s="55">
        <v>100</v>
      </c>
      <c r="M9" s="55">
        <v>88</v>
      </c>
      <c r="N9" s="55">
        <v>47</v>
      </c>
      <c r="O9" s="55">
        <v>49</v>
      </c>
      <c r="P9" s="55">
        <v>21</v>
      </c>
      <c r="Q9" s="55">
        <v>117</v>
      </c>
      <c r="R9" s="55">
        <v>381</v>
      </c>
      <c r="S9" s="55">
        <v>90</v>
      </c>
      <c r="T9" s="55">
        <v>94</v>
      </c>
      <c r="U9" s="55">
        <v>86</v>
      </c>
      <c r="V9" s="55">
        <v>43</v>
      </c>
      <c r="W9" s="55">
        <v>53.1</v>
      </c>
      <c r="X9" s="55">
        <v>28</v>
      </c>
      <c r="Y9" s="55">
        <v>124.1</v>
      </c>
      <c r="Z9" s="56">
        <v>394.1</v>
      </c>
      <c r="AA9" s="55" t="s">
        <v>50</v>
      </c>
      <c r="AB9" s="55" t="s">
        <v>50</v>
      </c>
      <c r="AC9" s="55" t="s">
        <v>50</v>
      </c>
      <c r="AD9" s="55" t="s">
        <v>50</v>
      </c>
      <c r="AE9" s="55" t="s">
        <v>50</v>
      </c>
      <c r="AF9" s="55" t="s">
        <v>50</v>
      </c>
      <c r="AG9" s="55" t="s">
        <v>50</v>
      </c>
      <c r="AH9" s="55" t="s">
        <v>50</v>
      </c>
    </row>
    <row r="10" ht="18.75" spans="1:34">
      <c r="A10" s="46" t="s">
        <v>288</v>
      </c>
      <c r="B10" s="2">
        <v>63</v>
      </c>
      <c r="C10" s="55">
        <v>92</v>
      </c>
      <c r="D10" s="55">
        <v>96</v>
      </c>
      <c r="E10" s="55">
        <v>94</v>
      </c>
      <c r="F10" s="55">
        <v>43</v>
      </c>
      <c r="G10" s="55">
        <v>46</v>
      </c>
      <c r="H10" s="55">
        <v>24</v>
      </c>
      <c r="I10" s="55">
        <v>113</v>
      </c>
      <c r="J10" s="55">
        <v>395</v>
      </c>
      <c r="K10" s="55">
        <v>78</v>
      </c>
      <c r="L10" s="55">
        <v>100</v>
      </c>
      <c r="M10" s="55">
        <v>92</v>
      </c>
      <c r="N10" s="55">
        <v>39</v>
      </c>
      <c r="O10" s="55">
        <v>53.9</v>
      </c>
      <c r="P10" s="55">
        <v>18</v>
      </c>
      <c r="Q10" s="55">
        <v>110.9</v>
      </c>
      <c r="R10" s="55">
        <v>380.9</v>
      </c>
      <c r="S10" s="55">
        <v>90</v>
      </c>
      <c r="T10" s="55">
        <v>99</v>
      </c>
      <c r="U10" s="55">
        <v>84</v>
      </c>
      <c r="V10" s="55">
        <v>40</v>
      </c>
      <c r="W10" s="55">
        <v>53.1</v>
      </c>
      <c r="X10" s="55">
        <v>28</v>
      </c>
      <c r="Y10" s="55">
        <v>121.1</v>
      </c>
      <c r="Z10" s="56">
        <v>394.1</v>
      </c>
      <c r="AA10" s="55" t="s">
        <v>50</v>
      </c>
      <c r="AB10" s="55" t="s">
        <v>50</v>
      </c>
      <c r="AC10" s="55" t="s">
        <v>50</v>
      </c>
      <c r="AD10" s="55" t="s">
        <v>50</v>
      </c>
      <c r="AE10" s="55" t="s">
        <v>50</v>
      </c>
      <c r="AF10" s="55" t="s">
        <v>50</v>
      </c>
      <c r="AG10" s="55" t="s">
        <v>50</v>
      </c>
      <c r="AH10" s="55" t="s">
        <v>50</v>
      </c>
    </row>
    <row r="11" ht="18.75" spans="1:34">
      <c r="A11" s="46" t="s">
        <v>289</v>
      </c>
      <c r="B11" s="2">
        <v>43</v>
      </c>
      <c r="C11" s="55">
        <v>74</v>
      </c>
      <c r="D11" s="55">
        <v>91</v>
      </c>
      <c r="E11" s="55">
        <v>64</v>
      </c>
      <c r="F11" s="55">
        <v>47</v>
      </c>
      <c r="G11" s="55">
        <v>44</v>
      </c>
      <c r="H11" s="55">
        <v>22</v>
      </c>
      <c r="I11" s="55">
        <v>113</v>
      </c>
      <c r="J11" s="55">
        <v>342</v>
      </c>
      <c r="K11" s="55">
        <v>64</v>
      </c>
      <c r="L11" s="55">
        <v>86</v>
      </c>
      <c r="M11" s="55">
        <v>76</v>
      </c>
      <c r="N11" s="55">
        <v>40</v>
      </c>
      <c r="O11" s="55">
        <v>40.1</v>
      </c>
      <c r="P11" s="55">
        <v>25</v>
      </c>
      <c r="Q11" s="55">
        <v>105.1</v>
      </c>
      <c r="R11" s="55">
        <v>331.1</v>
      </c>
      <c r="S11" s="55">
        <v>78</v>
      </c>
      <c r="T11" s="55">
        <v>91</v>
      </c>
      <c r="U11" s="55">
        <v>73</v>
      </c>
      <c r="V11" s="55">
        <v>29</v>
      </c>
      <c r="W11" s="55">
        <v>41.3</v>
      </c>
      <c r="X11" s="55">
        <v>28</v>
      </c>
      <c r="Y11" s="55">
        <v>98.3</v>
      </c>
      <c r="Z11" s="56">
        <v>340.3</v>
      </c>
      <c r="AA11" s="55">
        <v>74</v>
      </c>
      <c r="AB11" s="55">
        <v>99</v>
      </c>
      <c r="AC11" s="55">
        <v>71</v>
      </c>
      <c r="AD11" s="55">
        <v>40</v>
      </c>
      <c r="AE11" s="55">
        <v>24.2</v>
      </c>
      <c r="AF11" s="55">
        <v>25</v>
      </c>
      <c r="AG11" s="55">
        <v>89.2</v>
      </c>
      <c r="AH11" s="55">
        <v>333.2</v>
      </c>
    </row>
    <row r="12" ht="18.75" spans="1:34">
      <c r="A12" s="46" t="s">
        <v>290</v>
      </c>
      <c r="B12" s="2">
        <v>24</v>
      </c>
      <c r="C12" s="55">
        <v>62</v>
      </c>
      <c r="D12" s="55">
        <v>93</v>
      </c>
      <c r="E12" s="55">
        <v>21</v>
      </c>
      <c r="F12" s="55">
        <v>31</v>
      </c>
      <c r="G12" s="55">
        <v>28</v>
      </c>
      <c r="H12" s="55">
        <v>13</v>
      </c>
      <c r="I12" s="55">
        <v>72</v>
      </c>
      <c r="J12" s="55">
        <v>248</v>
      </c>
      <c r="K12" s="55">
        <v>64</v>
      </c>
      <c r="L12" s="55">
        <v>76</v>
      </c>
      <c r="M12" s="55">
        <v>53</v>
      </c>
      <c r="N12" s="55">
        <v>16</v>
      </c>
      <c r="O12" s="55">
        <v>25.9</v>
      </c>
      <c r="P12" s="55">
        <v>15</v>
      </c>
      <c r="Q12" s="55">
        <v>56.9</v>
      </c>
      <c r="R12" s="55">
        <v>249.9</v>
      </c>
      <c r="S12" s="55">
        <v>58</v>
      </c>
      <c r="T12" s="55">
        <v>85</v>
      </c>
      <c r="U12" s="55">
        <v>43</v>
      </c>
      <c r="V12" s="55">
        <v>18</v>
      </c>
      <c r="W12" s="55">
        <v>20.3</v>
      </c>
      <c r="X12" s="55">
        <v>15</v>
      </c>
      <c r="Y12" s="55">
        <v>53.3</v>
      </c>
      <c r="Z12" s="56">
        <v>239.3</v>
      </c>
      <c r="AA12" s="55">
        <v>66</v>
      </c>
      <c r="AB12" s="55">
        <v>86</v>
      </c>
      <c r="AC12" s="55">
        <v>33</v>
      </c>
      <c r="AD12" s="55">
        <v>32</v>
      </c>
      <c r="AE12" s="55">
        <v>10.8</v>
      </c>
      <c r="AF12" s="55">
        <v>18</v>
      </c>
      <c r="AG12" s="55">
        <v>60.8</v>
      </c>
      <c r="AH12" s="55">
        <v>245.8</v>
      </c>
    </row>
    <row r="13" ht="18.75" spans="1:34">
      <c r="A13" s="46" t="s">
        <v>291</v>
      </c>
      <c r="B13" s="2">
        <v>46</v>
      </c>
      <c r="C13" s="55">
        <v>74</v>
      </c>
      <c r="D13" s="55">
        <v>86</v>
      </c>
      <c r="E13" s="55">
        <v>78</v>
      </c>
      <c r="F13" s="55">
        <v>31</v>
      </c>
      <c r="G13" s="55">
        <v>35</v>
      </c>
      <c r="H13" s="55">
        <v>19</v>
      </c>
      <c r="I13" s="55">
        <v>85</v>
      </c>
      <c r="J13" s="55">
        <v>323</v>
      </c>
      <c r="K13" s="55">
        <v>66</v>
      </c>
      <c r="L13" s="55">
        <v>76</v>
      </c>
      <c r="M13" s="55">
        <v>71</v>
      </c>
      <c r="N13" s="55">
        <v>20</v>
      </c>
      <c r="O13" s="55">
        <v>36</v>
      </c>
      <c r="P13" s="55">
        <v>18</v>
      </c>
      <c r="Q13" s="55">
        <v>74</v>
      </c>
      <c r="R13" s="55">
        <v>287</v>
      </c>
      <c r="S13" s="55">
        <v>88</v>
      </c>
      <c r="T13" s="55">
        <v>83</v>
      </c>
      <c r="U13" s="55">
        <v>72</v>
      </c>
      <c r="V13" s="55">
        <v>15</v>
      </c>
      <c r="W13" s="55">
        <v>29</v>
      </c>
      <c r="X13" s="55">
        <v>20</v>
      </c>
      <c r="Y13" s="55">
        <v>64</v>
      </c>
      <c r="Z13" s="56">
        <v>307</v>
      </c>
      <c r="AA13" s="55">
        <v>84</v>
      </c>
      <c r="AB13" s="55">
        <v>81</v>
      </c>
      <c r="AC13" s="55">
        <v>52</v>
      </c>
      <c r="AD13" s="55">
        <v>18</v>
      </c>
      <c r="AE13" s="55">
        <v>33.5</v>
      </c>
      <c r="AF13" s="55">
        <v>21</v>
      </c>
      <c r="AG13" s="55">
        <v>72.5</v>
      </c>
      <c r="AH13" s="55">
        <v>289.5</v>
      </c>
    </row>
    <row r="14" ht="18.75" spans="1:34">
      <c r="A14" s="46" t="s">
        <v>292</v>
      </c>
      <c r="B14" s="2">
        <v>33</v>
      </c>
      <c r="C14" s="55">
        <v>42</v>
      </c>
      <c r="D14" s="55">
        <v>76</v>
      </c>
      <c r="E14" s="55">
        <v>49</v>
      </c>
      <c r="F14" s="55">
        <v>37</v>
      </c>
      <c r="G14" s="55">
        <v>41</v>
      </c>
      <c r="H14" s="55">
        <v>20</v>
      </c>
      <c r="I14" s="55">
        <v>98</v>
      </c>
      <c r="J14" s="55">
        <v>265</v>
      </c>
      <c r="K14" s="55">
        <v>60</v>
      </c>
      <c r="L14" s="55">
        <v>92</v>
      </c>
      <c r="M14" s="55">
        <v>65</v>
      </c>
      <c r="N14" s="55">
        <v>17</v>
      </c>
      <c r="O14" s="55">
        <v>40.4</v>
      </c>
      <c r="P14" s="55">
        <v>15</v>
      </c>
      <c r="Q14" s="55">
        <v>72.4</v>
      </c>
      <c r="R14" s="55">
        <v>289.4</v>
      </c>
      <c r="S14" s="55">
        <v>64</v>
      </c>
      <c r="T14" s="55">
        <v>88</v>
      </c>
      <c r="U14" s="55">
        <v>62</v>
      </c>
      <c r="V14" s="55">
        <v>22</v>
      </c>
      <c r="W14" s="55">
        <v>35.3</v>
      </c>
      <c r="X14" s="55">
        <v>16</v>
      </c>
      <c r="Y14" s="55">
        <v>73.3</v>
      </c>
      <c r="Z14" s="56">
        <v>287.3</v>
      </c>
      <c r="AA14" s="55">
        <v>70</v>
      </c>
      <c r="AB14" s="55">
        <v>80</v>
      </c>
      <c r="AC14" s="55">
        <v>64</v>
      </c>
      <c r="AD14" s="55">
        <v>15</v>
      </c>
      <c r="AE14" s="55">
        <v>33.7</v>
      </c>
      <c r="AF14" s="55">
        <v>21</v>
      </c>
      <c r="AG14" s="55">
        <v>69.7</v>
      </c>
      <c r="AH14" s="55">
        <v>283.7</v>
      </c>
    </row>
    <row r="15" ht="18.75" spans="1:34">
      <c r="A15" s="46" t="s">
        <v>293</v>
      </c>
      <c r="B15" s="2" t="s">
        <v>50</v>
      </c>
      <c r="C15" s="55">
        <v>82</v>
      </c>
      <c r="D15" s="55">
        <v>72</v>
      </c>
      <c r="E15" s="55">
        <v>81</v>
      </c>
      <c r="F15" s="55">
        <v>40</v>
      </c>
      <c r="G15" s="55">
        <v>52</v>
      </c>
      <c r="H15" s="55">
        <v>21</v>
      </c>
      <c r="I15" s="55">
        <v>113</v>
      </c>
      <c r="J15" s="55">
        <v>348</v>
      </c>
      <c r="K15" s="55">
        <v>74</v>
      </c>
      <c r="L15" s="55">
        <v>69</v>
      </c>
      <c r="M15" s="55">
        <v>79</v>
      </c>
      <c r="N15" s="55">
        <v>24</v>
      </c>
      <c r="O15" s="55">
        <v>34.6</v>
      </c>
      <c r="P15" s="55">
        <v>22</v>
      </c>
      <c r="Q15" s="55">
        <v>80.6</v>
      </c>
      <c r="R15" s="55">
        <v>302.6</v>
      </c>
      <c r="S15" s="55" t="s">
        <v>50</v>
      </c>
      <c r="T15" s="55" t="s">
        <v>50</v>
      </c>
      <c r="U15" s="55" t="s">
        <v>50</v>
      </c>
      <c r="V15" s="55" t="s">
        <v>50</v>
      </c>
      <c r="W15" s="55" t="s">
        <v>50</v>
      </c>
      <c r="X15" s="55" t="s">
        <v>50</v>
      </c>
      <c r="Y15" s="55" t="s">
        <v>50</v>
      </c>
      <c r="Z15" s="56" t="s">
        <v>50</v>
      </c>
      <c r="AA15" s="55">
        <v>90</v>
      </c>
      <c r="AB15" s="55">
        <v>75</v>
      </c>
      <c r="AC15" s="55">
        <v>75</v>
      </c>
      <c r="AD15" s="55">
        <v>30</v>
      </c>
      <c r="AE15" s="55">
        <v>39.6</v>
      </c>
      <c r="AF15" s="55">
        <v>22</v>
      </c>
      <c r="AG15" s="55">
        <v>91.6</v>
      </c>
      <c r="AH15" s="55">
        <v>331.6</v>
      </c>
    </row>
    <row r="16" ht="18.75" spans="1:34">
      <c r="A16" s="46" t="s">
        <v>294</v>
      </c>
      <c r="B16" s="2">
        <v>33</v>
      </c>
      <c r="C16" s="55">
        <v>72</v>
      </c>
      <c r="D16" s="55">
        <v>87</v>
      </c>
      <c r="E16" s="55">
        <v>80</v>
      </c>
      <c r="F16" s="55">
        <v>44</v>
      </c>
      <c r="G16" s="55">
        <v>51</v>
      </c>
      <c r="H16" s="55">
        <v>23</v>
      </c>
      <c r="I16" s="55">
        <v>118</v>
      </c>
      <c r="J16" s="55">
        <v>357</v>
      </c>
      <c r="K16" s="55">
        <v>78</v>
      </c>
      <c r="L16" s="55">
        <v>100</v>
      </c>
      <c r="M16" s="55">
        <v>78</v>
      </c>
      <c r="N16" s="55">
        <v>32</v>
      </c>
      <c r="O16" s="55">
        <v>39.4</v>
      </c>
      <c r="P16" s="55">
        <v>21</v>
      </c>
      <c r="Q16" s="55">
        <v>92.4</v>
      </c>
      <c r="R16" s="55">
        <v>348.4</v>
      </c>
      <c r="S16" s="55" t="s">
        <v>50</v>
      </c>
      <c r="T16" s="55" t="s">
        <v>50</v>
      </c>
      <c r="U16" s="55" t="s">
        <v>50</v>
      </c>
      <c r="V16" s="55" t="s">
        <v>50</v>
      </c>
      <c r="W16" s="55" t="s">
        <v>50</v>
      </c>
      <c r="X16" s="55" t="s">
        <v>50</v>
      </c>
      <c r="Y16" s="55" t="s">
        <v>50</v>
      </c>
      <c r="Z16" s="56" t="s">
        <v>50</v>
      </c>
      <c r="AA16" s="55" t="s">
        <v>50</v>
      </c>
      <c r="AB16" s="55" t="s">
        <v>50</v>
      </c>
      <c r="AC16" s="55" t="s">
        <v>50</v>
      </c>
      <c r="AD16" s="55" t="s">
        <v>50</v>
      </c>
      <c r="AE16" s="55" t="s">
        <v>50</v>
      </c>
      <c r="AF16" s="55" t="s">
        <v>50</v>
      </c>
      <c r="AG16" s="55" t="s">
        <v>50</v>
      </c>
      <c r="AH16" s="55" t="s">
        <v>50</v>
      </c>
    </row>
    <row r="17" ht="18.75" spans="1:34">
      <c r="A17" s="46" t="s">
        <v>295</v>
      </c>
      <c r="B17" s="2">
        <v>53</v>
      </c>
      <c r="C17" s="55">
        <v>64</v>
      </c>
      <c r="D17" s="55">
        <v>96</v>
      </c>
      <c r="E17" s="55">
        <v>66</v>
      </c>
      <c r="F17" s="55">
        <v>27</v>
      </c>
      <c r="G17" s="55">
        <v>27</v>
      </c>
      <c r="H17" s="55">
        <v>16</v>
      </c>
      <c r="I17" s="55">
        <v>70</v>
      </c>
      <c r="J17" s="55">
        <v>296</v>
      </c>
      <c r="K17" s="55" t="s">
        <v>50</v>
      </c>
      <c r="L17" s="55" t="s">
        <v>50</v>
      </c>
      <c r="M17" s="55" t="s">
        <v>50</v>
      </c>
      <c r="N17" s="55" t="s">
        <v>50</v>
      </c>
      <c r="O17" s="55" t="s">
        <v>50</v>
      </c>
      <c r="P17" s="55" t="s">
        <v>50</v>
      </c>
      <c r="Q17" s="55" t="s">
        <v>50</v>
      </c>
      <c r="R17" s="55" t="s">
        <v>50</v>
      </c>
      <c r="S17" s="55">
        <v>54</v>
      </c>
      <c r="T17" s="55">
        <v>77</v>
      </c>
      <c r="U17" s="55">
        <v>80</v>
      </c>
      <c r="V17" s="55">
        <v>14</v>
      </c>
      <c r="W17" s="55">
        <v>16.7</v>
      </c>
      <c r="X17" s="55">
        <v>22</v>
      </c>
      <c r="Y17" s="55">
        <v>52.7</v>
      </c>
      <c r="Z17" s="56">
        <v>263.7</v>
      </c>
      <c r="AA17" s="55" t="s">
        <v>50</v>
      </c>
      <c r="AB17" s="55" t="s">
        <v>50</v>
      </c>
      <c r="AC17" s="55" t="s">
        <v>50</v>
      </c>
      <c r="AD17" s="55" t="s">
        <v>50</v>
      </c>
      <c r="AE17" s="55" t="s">
        <v>50</v>
      </c>
      <c r="AF17" s="55" t="s">
        <v>50</v>
      </c>
      <c r="AG17" s="55" t="s">
        <v>50</v>
      </c>
      <c r="AH17" s="55" t="s">
        <v>50</v>
      </c>
    </row>
    <row r="18" ht="18.75" spans="1:34">
      <c r="A18" s="46" t="s">
        <v>296</v>
      </c>
      <c r="B18" s="2">
        <v>48</v>
      </c>
      <c r="C18" s="55">
        <v>66</v>
      </c>
      <c r="D18" s="55">
        <v>81</v>
      </c>
      <c r="E18" s="55">
        <v>88</v>
      </c>
      <c r="F18" s="55">
        <v>34</v>
      </c>
      <c r="G18" s="55">
        <v>30</v>
      </c>
      <c r="H18" s="55">
        <v>14</v>
      </c>
      <c r="I18" s="55">
        <v>78</v>
      </c>
      <c r="J18" s="55">
        <v>313</v>
      </c>
      <c r="K18" s="55">
        <v>58</v>
      </c>
      <c r="L18" s="55">
        <v>69</v>
      </c>
      <c r="M18" s="55">
        <v>86</v>
      </c>
      <c r="N18" s="55">
        <v>23</v>
      </c>
      <c r="O18" s="55">
        <v>29.4</v>
      </c>
      <c r="P18" s="55">
        <v>18</v>
      </c>
      <c r="Q18" s="55">
        <v>70.4</v>
      </c>
      <c r="R18" s="55">
        <v>283.4</v>
      </c>
      <c r="S18" s="55" t="s">
        <v>50</v>
      </c>
      <c r="T18" s="55" t="s">
        <v>50</v>
      </c>
      <c r="U18" s="55" t="s">
        <v>50</v>
      </c>
      <c r="V18" s="55" t="s">
        <v>50</v>
      </c>
      <c r="W18" s="55" t="s">
        <v>50</v>
      </c>
      <c r="X18" s="55" t="s">
        <v>50</v>
      </c>
      <c r="Y18" s="55" t="s">
        <v>50</v>
      </c>
      <c r="Z18" s="56" t="s">
        <v>50</v>
      </c>
      <c r="AA18" s="55">
        <v>88</v>
      </c>
      <c r="AB18" s="55">
        <v>71</v>
      </c>
      <c r="AC18" s="55">
        <v>83</v>
      </c>
      <c r="AD18" s="55">
        <v>21</v>
      </c>
      <c r="AE18" s="55">
        <v>35.4</v>
      </c>
      <c r="AF18" s="55">
        <v>17</v>
      </c>
      <c r="AG18" s="55">
        <v>73.4</v>
      </c>
      <c r="AH18" s="55">
        <v>315.4</v>
      </c>
    </row>
    <row r="19" ht="18.75" spans="1:34">
      <c r="A19" s="46" t="s">
        <v>297</v>
      </c>
      <c r="B19" s="2">
        <v>55</v>
      </c>
      <c r="C19" s="55">
        <v>64</v>
      </c>
      <c r="D19" s="55">
        <v>96</v>
      </c>
      <c r="E19" s="55">
        <v>76</v>
      </c>
      <c r="F19" s="55">
        <v>32</v>
      </c>
      <c r="G19" s="55">
        <v>33</v>
      </c>
      <c r="H19" s="55">
        <v>19</v>
      </c>
      <c r="I19" s="55">
        <v>84</v>
      </c>
      <c r="J19" s="55">
        <v>320</v>
      </c>
      <c r="K19" s="55" t="s">
        <v>50</v>
      </c>
      <c r="L19" s="55" t="s">
        <v>50</v>
      </c>
      <c r="M19" s="55" t="s">
        <v>50</v>
      </c>
      <c r="N19" s="55" t="s">
        <v>50</v>
      </c>
      <c r="O19" s="55" t="s">
        <v>50</v>
      </c>
      <c r="P19" s="55" t="s">
        <v>50</v>
      </c>
      <c r="Q19" s="55" t="s">
        <v>50</v>
      </c>
      <c r="R19" s="55" t="s">
        <v>50</v>
      </c>
      <c r="S19" s="55">
        <v>68</v>
      </c>
      <c r="T19" s="55">
        <v>81</v>
      </c>
      <c r="U19" s="55">
        <v>58</v>
      </c>
      <c r="V19" s="55">
        <v>17</v>
      </c>
      <c r="W19" s="55">
        <v>26.1</v>
      </c>
      <c r="X19" s="55">
        <v>20</v>
      </c>
      <c r="Y19" s="55">
        <v>63.1</v>
      </c>
      <c r="Z19" s="56">
        <v>270.1</v>
      </c>
      <c r="AA19" s="55">
        <v>80</v>
      </c>
      <c r="AB19" s="55">
        <v>91</v>
      </c>
      <c r="AC19" s="55">
        <v>51</v>
      </c>
      <c r="AD19" s="55">
        <v>33</v>
      </c>
      <c r="AE19" s="55">
        <v>31.8</v>
      </c>
      <c r="AF19" s="55">
        <v>23</v>
      </c>
      <c r="AG19" s="55">
        <v>87.8</v>
      </c>
      <c r="AH19" s="55">
        <v>309.8</v>
      </c>
    </row>
    <row r="20" ht="18.75" spans="1:34">
      <c r="A20" s="46" t="s">
        <v>298</v>
      </c>
      <c r="B20" s="2">
        <v>53</v>
      </c>
      <c r="C20" s="55">
        <v>76</v>
      </c>
      <c r="D20" s="55">
        <v>92</v>
      </c>
      <c r="E20" s="55">
        <v>52</v>
      </c>
      <c r="F20" s="55">
        <v>41</v>
      </c>
      <c r="G20" s="55">
        <v>37</v>
      </c>
      <c r="H20" s="55">
        <v>23</v>
      </c>
      <c r="I20" s="55">
        <v>101</v>
      </c>
      <c r="J20" s="55">
        <v>321</v>
      </c>
      <c r="K20" s="55">
        <v>78</v>
      </c>
      <c r="L20" s="55">
        <v>69</v>
      </c>
      <c r="M20" s="55">
        <v>52</v>
      </c>
      <c r="N20" s="55">
        <v>26</v>
      </c>
      <c r="O20" s="55">
        <v>48</v>
      </c>
      <c r="P20" s="55">
        <v>22</v>
      </c>
      <c r="Q20" s="55">
        <v>96</v>
      </c>
      <c r="R20" s="55">
        <v>295</v>
      </c>
      <c r="S20" s="55" t="s">
        <v>50</v>
      </c>
      <c r="T20" s="55" t="s">
        <v>50</v>
      </c>
      <c r="U20" s="55" t="s">
        <v>50</v>
      </c>
      <c r="V20" s="55" t="s">
        <v>50</v>
      </c>
      <c r="W20" s="55" t="s">
        <v>50</v>
      </c>
      <c r="X20" s="55" t="s">
        <v>50</v>
      </c>
      <c r="Y20" s="55" t="s">
        <v>50</v>
      </c>
      <c r="Z20" s="56" t="s">
        <v>50</v>
      </c>
      <c r="AA20" s="55">
        <v>84</v>
      </c>
      <c r="AB20" s="55">
        <v>83</v>
      </c>
      <c r="AC20" s="55">
        <v>60</v>
      </c>
      <c r="AD20" s="55">
        <v>33</v>
      </c>
      <c r="AE20" s="55">
        <v>38.1</v>
      </c>
      <c r="AF20" s="55">
        <v>21</v>
      </c>
      <c r="AG20" s="55">
        <v>92.1</v>
      </c>
      <c r="AH20" s="55">
        <v>319.1</v>
      </c>
    </row>
    <row r="21" ht="18.75" spans="1:34">
      <c r="A21" s="46" t="s">
        <v>299</v>
      </c>
      <c r="B21" s="2">
        <v>33</v>
      </c>
      <c r="C21" s="55">
        <v>84</v>
      </c>
      <c r="D21" s="55">
        <v>92</v>
      </c>
      <c r="E21" s="55">
        <v>60</v>
      </c>
      <c r="F21" s="55">
        <v>40</v>
      </c>
      <c r="G21" s="55">
        <v>46</v>
      </c>
      <c r="H21" s="55">
        <v>21</v>
      </c>
      <c r="I21" s="55">
        <v>107</v>
      </c>
      <c r="J21" s="55">
        <v>343</v>
      </c>
      <c r="K21" s="55">
        <v>76</v>
      </c>
      <c r="L21" s="55">
        <v>89</v>
      </c>
      <c r="M21" s="55">
        <v>56</v>
      </c>
      <c r="N21" s="55">
        <v>41</v>
      </c>
      <c r="O21" s="55">
        <v>47.1</v>
      </c>
      <c r="P21" s="55">
        <v>18</v>
      </c>
      <c r="Q21" s="55">
        <v>106.1</v>
      </c>
      <c r="R21" s="55">
        <v>327.1</v>
      </c>
      <c r="S21" s="55">
        <v>84</v>
      </c>
      <c r="T21" s="55">
        <v>85</v>
      </c>
      <c r="U21" s="55">
        <v>69</v>
      </c>
      <c r="V21" s="55">
        <v>27</v>
      </c>
      <c r="W21" s="55">
        <v>47.3</v>
      </c>
      <c r="X21" s="55">
        <v>18</v>
      </c>
      <c r="Y21" s="55">
        <v>92.3</v>
      </c>
      <c r="Z21" s="56">
        <v>330.3</v>
      </c>
      <c r="AA21" s="55">
        <v>82</v>
      </c>
      <c r="AB21" s="55">
        <v>87</v>
      </c>
      <c r="AC21" s="55">
        <v>58</v>
      </c>
      <c r="AD21" s="55">
        <v>31</v>
      </c>
      <c r="AE21" s="55">
        <v>43</v>
      </c>
      <c r="AF21" s="55">
        <v>21</v>
      </c>
      <c r="AG21" s="55">
        <v>95</v>
      </c>
      <c r="AH21" s="55">
        <v>322</v>
      </c>
    </row>
    <row r="22" ht="18.75" spans="1:34">
      <c r="A22" s="46" t="s">
        <v>300</v>
      </c>
      <c r="B22" s="2">
        <v>47</v>
      </c>
      <c r="C22" s="55">
        <v>80</v>
      </c>
      <c r="D22" s="55">
        <v>97</v>
      </c>
      <c r="E22" s="55">
        <v>79</v>
      </c>
      <c r="F22" s="55">
        <v>37</v>
      </c>
      <c r="G22" s="55">
        <v>44</v>
      </c>
      <c r="H22" s="55">
        <v>22</v>
      </c>
      <c r="I22" s="55">
        <v>103</v>
      </c>
      <c r="J22" s="55">
        <v>359</v>
      </c>
      <c r="K22" s="55">
        <v>66</v>
      </c>
      <c r="L22" s="55">
        <v>95</v>
      </c>
      <c r="M22" s="55">
        <v>87</v>
      </c>
      <c r="N22" s="55">
        <v>33</v>
      </c>
      <c r="O22" s="55">
        <v>43.8</v>
      </c>
      <c r="P22" s="55">
        <v>22</v>
      </c>
      <c r="Q22" s="55">
        <v>98.8</v>
      </c>
      <c r="R22" s="55">
        <v>346.8</v>
      </c>
      <c r="S22" s="55">
        <v>78</v>
      </c>
      <c r="T22" s="55">
        <v>91</v>
      </c>
      <c r="U22" s="55">
        <v>94</v>
      </c>
      <c r="V22" s="55">
        <v>23</v>
      </c>
      <c r="W22" s="55">
        <v>36.9</v>
      </c>
      <c r="X22" s="55">
        <v>23</v>
      </c>
      <c r="Y22" s="55">
        <v>82.9</v>
      </c>
      <c r="Z22" s="56">
        <v>345.9</v>
      </c>
      <c r="AA22" s="55">
        <v>90</v>
      </c>
      <c r="AB22" s="55">
        <v>91</v>
      </c>
      <c r="AC22" s="55">
        <v>84</v>
      </c>
      <c r="AD22" s="55">
        <v>33</v>
      </c>
      <c r="AE22" s="55">
        <v>40.1</v>
      </c>
      <c r="AF22" s="55">
        <v>24</v>
      </c>
      <c r="AG22" s="55">
        <v>97.1</v>
      </c>
      <c r="AH22" s="55">
        <v>362.1</v>
      </c>
    </row>
    <row r="23" ht="18.75" spans="1:34">
      <c r="A23" s="46" t="s">
        <v>301</v>
      </c>
      <c r="B23" s="2">
        <v>45</v>
      </c>
      <c r="C23" s="55">
        <v>68</v>
      </c>
      <c r="D23" s="55">
        <v>97</v>
      </c>
      <c r="E23" s="55">
        <v>77</v>
      </c>
      <c r="F23" s="55">
        <v>35</v>
      </c>
      <c r="G23" s="55">
        <v>42</v>
      </c>
      <c r="H23" s="55">
        <v>19</v>
      </c>
      <c r="I23" s="55">
        <v>96</v>
      </c>
      <c r="J23" s="55">
        <v>338</v>
      </c>
      <c r="K23" s="55" t="s">
        <v>50</v>
      </c>
      <c r="L23" s="55" t="s">
        <v>50</v>
      </c>
      <c r="M23" s="55" t="s">
        <v>50</v>
      </c>
      <c r="N23" s="55" t="s">
        <v>50</v>
      </c>
      <c r="O23" s="55" t="s">
        <v>50</v>
      </c>
      <c r="P23" s="55" t="s">
        <v>50</v>
      </c>
      <c r="Q23" s="55" t="s">
        <v>50</v>
      </c>
      <c r="R23" s="55" t="s">
        <v>50</v>
      </c>
      <c r="S23" s="55">
        <v>0</v>
      </c>
      <c r="T23" s="55">
        <v>84</v>
      </c>
      <c r="U23" s="55">
        <v>61</v>
      </c>
      <c r="V23" s="55">
        <v>24</v>
      </c>
      <c r="W23" s="55">
        <v>43.7</v>
      </c>
      <c r="X23" s="55">
        <v>26</v>
      </c>
      <c r="Y23" s="55">
        <v>93.7</v>
      </c>
      <c r="Z23" s="56">
        <v>238.7</v>
      </c>
      <c r="AA23" s="55">
        <v>78</v>
      </c>
      <c r="AB23" s="55">
        <v>88</v>
      </c>
      <c r="AC23" s="55">
        <v>76</v>
      </c>
      <c r="AD23" s="55">
        <v>30</v>
      </c>
      <c r="AE23" s="55">
        <v>38.9</v>
      </c>
      <c r="AF23" s="55">
        <v>21</v>
      </c>
      <c r="AG23" s="55">
        <v>89.9</v>
      </c>
      <c r="AH23" s="55">
        <v>331.9</v>
      </c>
    </row>
    <row r="24" ht="18.75" spans="1:34">
      <c r="A24" s="46" t="s">
        <v>302</v>
      </c>
      <c r="B24" s="2">
        <v>51</v>
      </c>
      <c r="C24" s="55">
        <v>76</v>
      </c>
      <c r="D24" s="55">
        <v>99</v>
      </c>
      <c r="E24" s="55">
        <v>90</v>
      </c>
      <c r="F24" s="55">
        <v>36</v>
      </c>
      <c r="G24" s="55">
        <v>45</v>
      </c>
      <c r="H24" s="55">
        <v>15</v>
      </c>
      <c r="I24" s="55">
        <v>96</v>
      </c>
      <c r="J24" s="55">
        <v>361</v>
      </c>
      <c r="K24" s="55">
        <v>66</v>
      </c>
      <c r="L24" s="55">
        <v>97</v>
      </c>
      <c r="M24" s="55">
        <v>88</v>
      </c>
      <c r="N24" s="55">
        <v>30</v>
      </c>
      <c r="O24" s="55">
        <v>39.6</v>
      </c>
      <c r="P24" s="55">
        <v>16</v>
      </c>
      <c r="Q24" s="55">
        <v>85.6</v>
      </c>
      <c r="R24" s="55">
        <v>336.6</v>
      </c>
      <c r="S24" s="55">
        <v>80</v>
      </c>
      <c r="T24" s="55">
        <v>86</v>
      </c>
      <c r="U24" s="55">
        <v>74</v>
      </c>
      <c r="V24" s="55">
        <v>34</v>
      </c>
      <c r="W24" s="55">
        <v>44.1</v>
      </c>
      <c r="X24" s="55">
        <v>22</v>
      </c>
      <c r="Y24" s="55">
        <v>100.1</v>
      </c>
      <c r="Z24" s="56">
        <v>340.1</v>
      </c>
      <c r="AA24" s="55">
        <v>74</v>
      </c>
      <c r="AB24" s="55">
        <v>90</v>
      </c>
      <c r="AC24" s="55">
        <v>73</v>
      </c>
      <c r="AD24" s="55">
        <v>27</v>
      </c>
      <c r="AE24" s="55">
        <v>33.7</v>
      </c>
      <c r="AF24" s="55">
        <v>22</v>
      </c>
      <c r="AG24" s="55">
        <v>82.7</v>
      </c>
      <c r="AH24" s="55">
        <v>319.7</v>
      </c>
    </row>
    <row r="25" ht="18.75" spans="1:34">
      <c r="A25" s="46" t="s">
        <v>303</v>
      </c>
      <c r="B25" s="2">
        <v>43</v>
      </c>
      <c r="C25" s="55">
        <v>78</v>
      </c>
      <c r="D25" s="55">
        <v>98</v>
      </c>
      <c r="E25" s="55">
        <v>90</v>
      </c>
      <c r="F25" s="55">
        <v>36</v>
      </c>
      <c r="G25" s="55">
        <v>46</v>
      </c>
      <c r="H25" s="55">
        <v>16</v>
      </c>
      <c r="I25" s="55">
        <v>98</v>
      </c>
      <c r="J25" s="55">
        <v>364</v>
      </c>
      <c r="K25" s="55">
        <v>64</v>
      </c>
      <c r="L25" s="55">
        <v>94</v>
      </c>
      <c r="M25" s="55">
        <v>85</v>
      </c>
      <c r="N25" s="55">
        <v>34</v>
      </c>
      <c r="O25" s="55">
        <v>26.1</v>
      </c>
      <c r="P25" s="55">
        <v>22</v>
      </c>
      <c r="Q25" s="55">
        <v>82.1</v>
      </c>
      <c r="R25" s="55">
        <v>325.1</v>
      </c>
      <c r="S25" s="55">
        <v>78</v>
      </c>
      <c r="T25" s="55">
        <v>83</v>
      </c>
      <c r="U25" s="55">
        <v>70</v>
      </c>
      <c r="V25" s="55">
        <v>31</v>
      </c>
      <c r="W25" s="55">
        <v>44</v>
      </c>
      <c r="X25" s="55">
        <v>20</v>
      </c>
      <c r="Y25" s="55">
        <v>95</v>
      </c>
      <c r="Z25" s="56">
        <v>326</v>
      </c>
      <c r="AA25" s="55">
        <v>78</v>
      </c>
      <c r="AB25" s="55">
        <v>92</v>
      </c>
      <c r="AC25" s="55">
        <v>72</v>
      </c>
      <c r="AD25" s="55">
        <v>22</v>
      </c>
      <c r="AE25" s="55">
        <v>29.3</v>
      </c>
      <c r="AF25" s="55">
        <v>24</v>
      </c>
      <c r="AG25" s="55">
        <v>75.3</v>
      </c>
      <c r="AH25" s="55">
        <v>317.3</v>
      </c>
    </row>
    <row r="26" ht="18.75" spans="1:34">
      <c r="A26" s="46" t="s">
        <v>304</v>
      </c>
      <c r="B26" s="2">
        <v>45</v>
      </c>
      <c r="C26" s="55">
        <v>76</v>
      </c>
      <c r="D26" s="55">
        <v>78</v>
      </c>
      <c r="E26" s="55">
        <v>60</v>
      </c>
      <c r="F26" s="55">
        <v>40</v>
      </c>
      <c r="G26" s="55">
        <v>41</v>
      </c>
      <c r="H26" s="55">
        <v>26</v>
      </c>
      <c r="I26" s="55">
        <v>107</v>
      </c>
      <c r="J26" s="55">
        <v>321</v>
      </c>
      <c r="K26" s="55">
        <v>72</v>
      </c>
      <c r="L26" s="55">
        <v>79</v>
      </c>
      <c r="M26" s="55">
        <v>66</v>
      </c>
      <c r="N26" s="55">
        <v>30</v>
      </c>
      <c r="O26" s="55">
        <v>46.5</v>
      </c>
      <c r="P26" s="55">
        <v>24</v>
      </c>
      <c r="Q26" s="55">
        <v>100.5</v>
      </c>
      <c r="R26" s="55">
        <v>317.5</v>
      </c>
      <c r="S26" s="55">
        <v>80</v>
      </c>
      <c r="T26" s="55">
        <v>76</v>
      </c>
      <c r="U26" s="55">
        <v>61</v>
      </c>
      <c r="V26" s="55">
        <v>28</v>
      </c>
      <c r="W26" s="55">
        <v>32.7</v>
      </c>
      <c r="X26" s="55">
        <v>23</v>
      </c>
      <c r="Y26" s="55">
        <v>83.7</v>
      </c>
      <c r="Z26" s="56">
        <v>300.7</v>
      </c>
      <c r="AA26" s="55" t="s">
        <v>50</v>
      </c>
      <c r="AB26" s="55" t="s">
        <v>50</v>
      </c>
      <c r="AC26" s="55" t="s">
        <v>50</v>
      </c>
      <c r="AD26" s="55" t="s">
        <v>50</v>
      </c>
      <c r="AE26" s="55" t="s">
        <v>50</v>
      </c>
      <c r="AF26" s="55" t="s">
        <v>50</v>
      </c>
      <c r="AG26" s="55" t="s">
        <v>50</v>
      </c>
      <c r="AH26" s="55" t="s">
        <v>50</v>
      </c>
    </row>
    <row r="27" ht="18.75" spans="1:34">
      <c r="A27" s="46" t="s">
        <v>305</v>
      </c>
      <c r="B27" s="2" t="s">
        <v>50</v>
      </c>
      <c r="C27" s="55">
        <v>72</v>
      </c>
      <c r="D27" s="55">
        <v>69</v>
      </c>
      <c r="E27" s="55">
        <v>94</v>
      </c>
      <c r="F27" s="55" t="s">
        <v>50</v>
      </c>
      <c r="G27" s="55" t="s">
        <v>50</v>
      </c>
      <c r="H27" s="55" t="s">
        <v>50</v>
      </c>
      <c r="I27" s="55" t="s">
        <v>50</v>
      </c>
      <c r="J27" s="55" t="s">
        <v>50</v>
      </c>
      <c r="K27" s="55" t="s">
        <v>50</v>
      </c>
      <c r="L27" s="55" t="s">
        <v>50</v>
      </c>
      <c r="M27" s="55" t="s">
        <v>50</v>
      </c>
      <c r="N27" s="55" t="s">
        <v>50</v>
      </c>
      <c r="O27" s="55" t="s">
        <v>50</v>
      </c>
      <c r="P27" s="55" t="s">
        <v>50</v>
      </c>
      <c r="Q27" s="55" t="s">
        <v>50</v>
      </c>
      <c r="R27" s="55" t="s">
        <v>50</v>
      </c>
      <c r="S27" s="55" t="s">
        <v>50</v>
      </c>
      <c r="T27" s="55" t="s">
        <v>50</v>
      </c>
      <c r="U27" s="55" t="s">
        <v>50</v>
      </c>
      <c r="V27" s="55" t="s">
        <v>50</v>
      </c>
      <c r="W27" s="55" t="s">
        <v>50</v>
      </c>
      <c r="X27" s="55" t="s">
        <v>50</v>
      </c>
      <c r="Y27" s="55" t="s">
        <v>50</v>
      </c>
      <c r="Z27" s="56" t="s">
        <v>50</v>
      </c>
      <c r="AA27" s="55">
        <v>60</v>
      </c>
      <c r="AB27" s="55">
        <v>81</v>
      </c>
      <c r="AC27" s="55">
        <v>76</v>
      </c>
      <c r="AD27" s="55">
        <v>32</v>
      </c>
      <c r="AE27" s="55">
        <v>35.3</v>
      </c>
      <c r="AF27" s="55">
        <v>16</v>
      </c>
      <c r="AG27" s="55">
        <v>83.3</v>
      </c>
      <c r="AH27" s="55">
        <v>300.3</v>
      </c>
    </row>
    <row r="28" ht="18.75" spans="1:34">
      <c r="A28" s="46" t="s">
        <v>306</v>
      </c>
      <c r="B28" s="2" t="s">
        <v>50</v>
      </c>
      <c r="C28" s="55">
        <v>92</v>
      </c>
      <c r="D28" s="55">
        <v>97</v>
      </c>
      <c r="E28" s="55">
        <v>98</v>
      </c>
      <c r="F28" s="55">
        <v>42</v>
      </c>
      <c r="G28" s="55">
        <v>49</v>
      </c>
      <c r="H28" s="55">
        <v>25</v>
      </c>
      <c r="I28" s="55">
        <v>116</v>
      </c>
      <c r="J28" s="55">
        <v>403</v>
      </c>
      <c r="K28" s="55" t="s">
        <v>50</v>
      </c>
      <c r="L28" s="55" t="s">
        <v>50</v>
      </c>
      <c r="M28" s="55" t="s">
        <v>50</v>
      </c>
      <c r="N28" s="55" t="s">
        <v>50</v>
      </c>
      <c r="O28" s="55" t="s">
        <v>50</v>
      </c>
      <c r="P28" s="55" t="s">
        <v>50</v>
      </c>
      <c r="Q28" s="55" t="s">
        <v>50</v>
      </c>
      <c r="R28" s="55" t="s">
        <v>50</v>
      </c>
      <c r="S28" s="55" t="s">
        <v>50</v>
      </c>
      <c r="T28" s="55" t="s">
        <v>50</v>
      </c>
      <c r="U28" s="55" t="s">
        <v>50</v>
      </c>
      <c r="V28" s="55" t="s">
        <v>50</v>
      </c>
      <c r="W28" s="55" t="s">
        <v>50</v>
      </c>
      <c r="X28" s="55" t="s">
        <v>50</v>
      </c>
      <c r="Y28" s="55" t="s">
        <v>50</v>
      </c>
      <c r="Z28" s="56" t="s">
        <v>50</v>
      </c>
      <c r="AA28" s="55" t="s">
        <v>50</v>
      </c>
      <c r="AB28" s="55" t="s">
        <v>50</v>
      </c>
      <c r="AC28" s="55" t="s">
        <v>50</v>
      </c>
      <c r="AD28" s="55" t="s">
        <v>50</v>
      </c>
      <c r="AE28" s="55" t="s">
        <v>50</v>
      </c>
      <c r="AF28" s="55" t="s">
        <v>50</v>
      </c>
      <c r="AG28" s="55" t="s">
        <v>50</v>
      </c>
      <c r="AH28" s="55" t="s">
        <v>50</v>
      </c>
    </row>
    <row r="29" ht="18.75" spans="1:34">
      <c r="A29" s="46" t="s">
        <v>307</v>
      </c>
      <c r="B29" s="2">
        <v>58</v>
      </c>
      <c r="C29" s="55">
        <v>90</v>
      </c>
      <c r="D29" s="55">
        <v>97</v>
      </c>
      <c r="E29" s="55">
        <v>78</v>
      </c>
      <c r="F29" s="55">
        <v>47</v>
      </c>
      <c r="G29" s="55">
        <v>44</v>
      </c>
      <c r="H29" s="55">
        <v>21</v>
      </c>
      <c r="I29" s="55">
        <v>112</v>
      </c>
      <c r="J29" s="55">
        <v>377</v>
      </c>
      <c r="K29" s="55">
        <v>56</v>
      </c>
      <c r="L29" s="55">
        <v>58</v>
      </c>
      <c r="M29" s="55">
        <v>86</v>
      </c>
      <c r="N29" s="55">
        <v>31</v>
      </c>
      <c r="O29" s="55">
        <v>42.1</v>
      </c>
      <c r="P29" s="55">
        <v>18</v>
      </c>
      <c r="Q29" s="55">
        <v>91.1</v>
      </c>
      <c r="R29" s="55">
        <v>291.1</v>
      </c>
      <c r="S29" s="55">
        <v>80</v>
      </c>
      <c r="T29" s="55">
        <v>76</v>
      </c>
      <c r="U29" s="55">
        <v>85</v>
      </c>
      <c r="V29" s="55">
        <v>25</v>
      </c>
      <c r="W29" s="55">
        <v>46.2</v>
      </c>
      <c r="X29" s="55">
        <v>24</v>
      </c>
      <c r="Y29" s="55">
        <v>95.2</v>
      </c>
      <c r="Z29" s="56">
        <v>336.2</v>
      </c>
      <c r="AA29" s="55">
        <v>84</v>
      </c>
      <c r="AB29" s="55">
        <v>89</v>
      </c>
      <c r="AC29" s="55">
        <v>83</v>
      </c>
      <c r="AD29" s="55">
        <v>37</v>
      </c>
      <c r="AE29" s="55">
        <v>49</v>
      </c>
      <c r="AF29" s="55">
        <v>22</v>
      </c>
      <c r="AG29" s="55">
        <v>108</v>
      </c>
      <c r="AH29" s="55">
        <v>364</v>
      </c>
    </row>
    <row r="30" ht="18.75" spans="1:34">
      <c r="A30" s="46" t="s">
        <v>308</v>
      </c>
      <c r="B30" s="2">
        <v>33</v>
      </c>
      <c r="C30" s="55">
        <v>86</v>
      </c>
      <c r="D30" s="55">
        <v>100</v>
      </c>
      <c r="E30" s="55">
        <v>80</v>
      </c>
      <c r="F30" s="55">
        <v>51</v>
      </c>
      <c r="G30" s="55">
        <v>44</v>
      </c>
      <c r="H30" s="55">
        <v>24</v>
      </c>
      <c r="I30" s="55">
        <v>119</v>
      </c>
      <c r="J30" s="55">
        <v>385</v>
      </c>
      <c r="K30" s="55">
        <v>84</v>
      </c>
      <c r="L30" s="55">
        <v>83</v>
      </c>
      <c r="M30" s="55">
        <v>82</v>
      </c>
      <c r="N30" s="55">
        <v>44</v>
      </c>
      <c r="O30" s="55">
        <v>47.2</v>
      </c>
      <c r="P30" s="55">
        <v>20</v>
      </c>
      <c r="Q30" s="55">
        <v>111.2</v>
      </c>
      <c r="R30" s="55">
        <v>360.2</v>
      </c>
      <c r="S30" s="55">
        <v>90</v>
      </c>
      <c r="T30" s="55">
        <v>81</v>
      </c>
      <c r="U30" s="55">
        <v>71</v>
      </c>
      <c r="V30" s="55">
        <v>46</v>
      </c>
      <c r="W30" s="55">
        <v>51.2</v>
      </c>
      <c r="X30" s="55">
        <v>26</v>
      </c>
      <c r="Y30" s="55">
        <v>123.2</v>
      </c>
      <c r="Z30" s="56">
        <v>365.2</v>
      </c>
      <c r="AA30" s="55">
        <v>94</v>
      </c>
      <c r="AB30" s="55">
        <v>95</v>
      </c>
      <c r="AC30" s="55">
        <v>79</v>
      </c>
      <c r="AD30" s="55">
        <v>53</v>
      </c>
      <c r="AE30" s="55">
        <v>50.4</v>
      </c>
      <c r="AF30" s="55">
        <v>27</v>
      </c>
      <c r="AG30" s="55">
        <v>130.4</v>
      </c>
      <c r="AH30" s="55">
        <v>398.4</v>
      </c>
    </row>
    <row r="31" ht="18.75" spans="1:34">
      <c r="A31" s="46" t="s">
        <v>309</v>
      </c>
      <c r="B31" s="2">
        <v>62</v>
      </c>
      <c r="C31" s="55">
        <v>76</v>
      </c>
      <c r="D31" s="55">
        <v>88</v>
      </c>
      <c r="E31" s="55">
        <v>75</v>
      </c>
      <c r="F31" s="55">
        <v>42</v>
      </c>
      <c r="G31" s="55">
        <v>48</v>
      </c>
      <c r="H31" s="55">
        <v>26</v>
      </c>
      <c r="I31" s="55">
        <v>116</v>
      </c>
      <c r="J31" s="55">
        <v>355</v>
      </c>
      <c r="K31" s="55">
        <v>66</v>
      </c>
      <c r="L31" s="55">
        <v>79</v>
      </c>
      <c r="M31" s="55">
        <v>90</v>
      </c>
      <c r="N31" s="55">
        <v>44</v>
      </c>
      <c r="O31" s="55">
        <v>40.4</v>
      </c>
      <c r="P31" s="55">
        <v>23</v>
      </c>
      <c r="Q31" s="55">
        <v>107.4</v>
      </c>
      <c r="R31" s="55">
        <v>342.4</v>
      </c>
      <c r="S31" s="55">
        <v>84</v>
      </c>
      <c r="T31" s="55">
        <v>83</v>
      </c>
      <c r="U31" s="55">
        <v>82</v>
      </c>
      <c r="V31" s="55">
        <v>32</v>
      </c>
      <c r="W31" s="55">
        <v>46.1</v>
      </c>
      <c r="X31" s="55">
        <v>25</v>
      </c>
      <c r="Y31" s="55">
        <v>103.1</v>
      </c>
      <c r="Z31" s="56">
        <v>352.1</v>
      </c>
      <c r="AA31" s="55">
        <v>80</v>
      </c>
      <c r="AB31" s="55">
        <v>74</v>
      </c>
      <c r="AC31" s="55">
        <v>85</v>
      </c>
      <c r="AD31" s="55">
        <v>43</v>
      </c>
      <c r="AE31" s="55">
        <v>40.4</v>
      </c>
      <c r="AF31" s="55">
        <v>20</v>
      </c>
      <c r="AG31" s="55">
        <v>103.4</v>
      </c>
      <c r="AH31" s="55">
        <v>342.4</v>
      </c>
    </row>
    <row r="32" ht="18.75" spans="1:34">
      <c r="A32" s="46" t="s">
        <v>310</v>
      </c>
      <c r="B32" s="2">
        <v>39</v>
      </c>
      <c r="C32" s="55">
        <v>72</v>
      </c>
      <c r="D32" s="55">
        <v>82</v>
      </c>
      <c r="E32" s="55">
        <v>75</v>
      </c>
      <c r="F32" s="55">
        <v>36</v>
      </c>
      <c r="G32" s="55">
        <v>36</v>
      </c>
      <c r="H32" s="55">
        <v>23</v>
      </c>
      <c r="I32" s="55">
        <v>95</v>
      </c>
      <c r="J32" s="55">
        <v>324</v>
      </c>
      <c r="K32" s="55">
        <v>68</v>
      </c>
      <c r="L32" s="55">
        <v>70</v>
      </c>
      <c r="M32" s="55">
        <v>59</v>
      </c>
      <c r="N32" s="55">
        <v>23</v>
      </c>
      <c r="O32" s="55">
        <v>37</v>
      </c>
      <c r="P32" s="55">
        <v>22</v>
      </c>
      <c r="Q32" s="55">
        <v>82</v>
      </c>
      <c r="R32" s="55">
        <v>279</v>
      </c>
      <c r="S32" s="55">
        <v>88</v>
      </c>
      <c r="T32" s="55">
        <v>71</v>
      </c>
      <c r="U32" s="55">
        <v>58</v>
      </c>
      <c r="V32" s="55">
        <v>22</v>
      </c>
      <c r="W32" s="55">
        <v>38</v>
      </c>
      <c r="X32" s="55">
        <v>20</v>
      </c>
      <c r="Y32" s="55">
        <v>80</v>
      </c>
      <c r="Z32" s="56">
        <v>297</v>
      </c>
      <c r="AA32" s="55">
        <v>90</v>
      </c>
      <c r="AB32" s="55">
        <v>70</v>
      </c>
      <c r="AC32" s="55">
        <v>54</v>
      </c>
      <c r="AD32" s="55">
        <v>21</v>
      </c>
      <c r="AE32" s="55">
        <v>35.5</v>
      </c>
      <c r="AF32" s="55">
        <v>20</v>
      </c>
      <c r="AG32" s="55">
        <v>76.5</v>
      </c>
      <c r="AH32" s="55">
        <v>290.5</v>
      </c>
    </row>
    <row r="33" ht="18.75" spans="1:34">
      <c r="A33" s="46" t="s">
        <v>311</v>
      </c>
      <c r="B33" s="2">
        <v>14</v>
      </c>
      <c r="C33" s="55">
        <v>78</v>
      </c>
      <c r="D33" s="55">
        <v>68</v>
      </c>
      <c r="E33" s="55">
        <v>78</v>
      </c>
      <c r="F33" s="55">
        <v>29</v>
      </c>
      <c r="G33" s="55">
        <v>35</v>
      </c>
      <c r="H33" s="55">
        <v>23</v>
      </c>
      <c r="I33" s="55">
        <v>87</v>
      </c>
      <c r="J33" s="55">
        <v>311</v>
      </c>
      <c r="K33" s="55">
        <v>64</v>
      </c>
      <c r="L33" s="55">
        <v>72</v>
      </c>
      <c r="M33" s="55">
        <v>58</v>
      </c>
      <c r="N33" s="55">
        <v>16</v>
      </c>
      <c r="O33" s="55">
        <v>31.8</v>
      </c>
      <c r="P33" s="55">
        <v>19</v>
      </c>
      <c r="Q33" s="55">
        <v>66.8</v>
      </c>
      <c r="R33" s="55">
        <v>260.8</v>
      </c>
      <c r="S33" s="55">
        <v>82</v>
      </c>
      <c r="T33" s="55">
        <v>87</v>
      </c>
      <c r="U33" s="55">
        <v>58</v>
      </c>
      <c r="V33" s="55">
        <v>22</v>
      </c>
      <c r="W33" s="55">
        <v>33.4</v>
      </c>
      <c r="X33" s="55">
        <v>21</v>
      </c>
      <c r="Y33" s="55">
        <v>76.4</v>
      </c>
      <c r="Z33" s="56">
        <v>303.4</v>
      </c>
      <c r="AA33" s="55">
        <v>86</v>
      </c>
      <c r="AB33" s="55">
        <v>87</v>
      </c>
      <c r="AC33" s="55">
        <v>59</v>
      </c>
      <c r="AD33" s="55">
        <v>22</v>
      </c>
      <c r="AE33" s="55">
        <v>27.6</v>
      </c>
      <c r="AF33" s="55">
        <v>23</v>
      </c>
      <c r="AG33" s="55">
        <v>72.6</v>
      </c>
      <c r="AH33" s="55">
        <v>304.6</v>
      </c>
    </row>
    <row r="34" ht="18.75" spans="1:34">
      <c r="A34" s="46" t="s">
        <v>312</v>
      </c>
      <c r="B34" s="2">
        <v>41</v>
      </c>
      <c r="C34" s="55">
        <v>90</v>
      </c>
      <c r="D34" s="55">
        <v>66</v>
      </c>
      <c r="E34" s="55">
        <v>78</v>
      </c>
      <c r="F34" s="55">
        <v>33</v>
      </c>
      <c r="G34" s="55">
        <v>40</v>
      </c>
      <c r="H34" s="55">
        <v>22</v>
      </c>
      <c r="I34" s="55">
        <v>95</v>
      </c>
      <c r="J34" s="55">
        <v>329</v>
      </c>
      <c r="K34" s="55">
        <v>74</v>
      </c>
      <c r="L34" s="55">
        <v>81</v>
      </c>
      <c r="M34" s="55">
        <v>65</v>
      </c>
      <c r="N34" s="55">
        <v>24</v>
      </c>
      <c r="O34" s="55">
        <v>47.4</v>
      </c>
      <c r="P34" s="55">
        <v>24</v>
      </c>
      <c r="Q34" s="55">
        <v>95.4</v>
      </c>
      <c r="R34" s="55">
        <v>315.4</v>
      </c>
      <c r="S34" s="55">
        <v>82</v>
      </c>
      <c r="T34" s="55">
        <v>69</v>
      </c>
      <c r="U34" s="55">
        <v>65</v>
      </c>
      <c r="V34" s="55">
        <v>21</v>
      </c>
      <c r="W34" s="55">
        <v>43.9</v>
      </c>
      <c r="X34" s="55">
        <v>22</v>
      </c>
      <c r="Y34" s="55">
        <v>86.9</v>
      </c>
      <c r="Z34" s="56">
        <v>302.9</v>
      </c>
      <c r="AA34" s="55" t="s">
        <v>50</v>
      </c>
      <c r="AB34" s="55" t="s">
        <v>50</v>
      </c>
      <c r="AC34" s="55" t="s">
        <v>50</v>
      </c>
      <c r="AD34" s="55" t="s">
        <v>50</v>
      </c>
      <c r="AE34" s="55" t="s">
        <v>50</v>
      </c>
      <c r="AF34" s="55" t="s">
        <v>50</v>
      </c>
      <c r="AG34" s="55" t="s">
        <v>50</v>
      </c>
      <c r="AH34" s="55" t="s">
        <v>50</v>
      </c>
    </row>
    <row r="35" ht="18.75" spans="1:34">
      <c r="A35" s="46" t="s">
        <v>313</v>
      </c>
      <c r="B35" s="2" t="s">
        <v>50</v>
      </c>
      <c r="C35" s="55">
        <v>76</v>
      </c>
      <c r="D35" s="55">
        <v>94</v>
      </c>
      <c r="E35" s="55">
        <v>84</v>
      </c>
      <c r="F35" s="55">
        <v>43</v>
      </c>
      <c r="G35" s="55">
        <v>56</v>
      </c>
      <c r="H35" s="55">
        <v>24</v>
      </c>
      <c r="I35" s="55">
        <v>123</v>
      </c>
      <c r="J35" s="55">
        <v>377</v>
      </c>
      <c r="K35" s="55" t="s">
        <v>50</v>
      </c>
      <c r="L35" s="55" t="s">
        <v>50</v>
      </c>
      <c r="M35" s="55" t="s">
        <v>50</v>
      </c>
      <c r="N35" s="55" t="s">
        <v>50</v>
      </c>
      <c r="O35" s="55" t="s">
        <v>50</v>
      </c>
      <c r="P35" s="55" t="s">
        <v>50</v>
      </c>
      <c r="Q35" s="55" t="s">
        <v>50</v>
      </c>
      <c r="R35" s="55" t="s">
        <v>50</v>
      </c>
      <c r="S35" s="55">
        <v>60</v>
      </c>
      <c r="T35" s="55">
        <v>69</v>
      </c>
      <c r="U35" s="55">
        <v>78</v>
      </c>
      <c r="V35" s="55">
        <v>23</v>
      </c>
      <c r="W35" s="55">
        <v>30</v>
      </c>
      <c r="X35" s="55">
        <v>24</v>
      </c>
      <c r="Y35" s="55">
        <v>77</v>
      </c>
      <c r="Z35" s="56">
        <v>284</v>
      </c>
      <c r="AA35" s="55" t="s">
        <v>50</v>
      </c>
      <c r="AB35" s="55" t="s">
        <v>50</v>
      </c>
      <c r="AC35" s="55" t="s">
        <v>50</v>
      </c>
      <c r="AD35" s="55" t="s">
        <v>50</v>
      </c>
      <c r="AE35" s="55" t="s">
        <v>50</v>
      </c>
      <c r="AF35" s="55" t="s">
        <v>50</v>
      </c>
      <c r="AG35" s="55" t="s">
        <v>50</v>
      </c>
      <c r="AH35" s="55" t="s">
        <v>50</v>
      </c>
    </row>
    <row r="36" ht="18.75" spans="1:34">
      <c r="A36" s="46" t="s">
        <v>314</v>
      </c>
      <c r="B36" s="2">
        <v>28</v>
      </c>
      <c r="C36" s="55">
        <v>84</v>
      </c>
      <c r="D36" s="55">
        <v>94</v>
      </c>
      <c r="E36" s="55">
        <v>68</v>
      </c>
      <c r="F36" s="55">
        <v>44</v>
      </c>
      <c r="G36" s="55">
        <v>55</v>
      </c>
      <c r="H36" s="55">
        <v>22</v>
      </c>
      <c r="I36" s="55">
        <v>121</v>
      </c>
      <c r="J36" s="55">
        <v>367</v>
      </c>
      <c r="K36" s="55" t="s">
        <v>50</v>
      </c>
      <c r="L36" s="55" t="s">
        <v>50</v>
      </c>
      <c r="M36" s="55" t="s">
        <v>50</v>
      </c>
      <c r="N36" s="55" t="s">
        <v>50</v>
      </c>
      <c r="O36" s="55" t="s">
        <v>50</v>
      </c>
      <c r="P36" s="55" t="s">
        <v>50</v>
      </c>
      <c r="Q36" s="55" t="s">
        <v>50</v>
      </c>
      <c r="R36" s="55" t="s">
        <v>50</v>
      </c>
      <c r="S36" s="55">
        <v>84</v>
      </c>
      <c r="T36" s="55">
        <v>71</v>
      </c>
      <c r="U36" s="55">
        <v>61</v>
      </c>
      <c r="V36" s="55">
        <v>31</v>
      </c>
      <c r="W36" s="55">
        <v>48.1</v>
      </c>
      <c r="X36" s="55">
        <v>19</v>
      </c>
      <c r="Y36" s="55">
        <v>98.1</v>
      </c>
      <c r="Z36" s="56">
        <v>314.1</v>
      </c>
      <c r="AA36" s="55">
        <v>82</v>
      </c>
      <c r="AB36" s="55">
        <v>91</v>
      </c>
      <c r="AC36" s="55">
        <v>62</v>
      </c>
      <c r="AD36" s="55">
        <v>42</v>
      </c>
      <c r="AE36" s="55">
        <v>40.6</v>
      </c>
      <c r="AF36" s="55">
        <v>20</v>
      </c>
      <c r="AG36" s="55">
        <v>102.6</v>
      </c>
      <c r="AH36" s="55">
        <v>337.6</v>
      </c>
    </row>
    <row r="37" ht="18.75" spans="1:34">
      <c r="A37" s="46" t="s">
        <v>315</v>
      </c>
      <c r="B37" s="2">
        <v>42</v>
      </c>
      <c r="C37" s="55">
        <v>82</v>
      </c>
      <c r="D37" s="55">
        <v>96</v>
      </c>
      <c r="E37" s="55">
        <v>80</v>
      </c>
      <c r="F37" s="55">
        <v>22</v>
      </c>
      <c r="G37" s="55">
        <v>31</v>
      </c>
      <c r="H37" s="55">
        <v>22</v>
      </c>
      <c r="I37" s="55">
        <v>75</v>
      </c>
      <c r="J37" s="55">
        <v>333</v>
      </c>
      <c r="K37" s="55">
        <v>58</v>
      </c>
      <c r="L37" s="55">
        <v>60</v>
      </c>
      <c r="M37" s="55">
        <v>80</v>
      </c>
      <c r="N37" s="55">
        <v>12</v>
      </c>
      <c r="O37" s="55">
        <v>36.1</v>
      </c>
      <c r="P37" s="55">
        <v>19</v>
      </c>
      <c r="Q37" s="55">
        <v>67.1</v>
      </c>
      <c r="R37" s="55">
        <v>265.1</v>
      </c>
      <c r="S37" s="55" t="s">
        <v>50</v>
      </c>
      <c r="T37" s="55" t="s">
        <v>50</v>
      </c>
      <c r="U37" s="55" t="s">
        <v>50</v>
      </c>
      <c r="V37" s="55" t="s">
        <v>50</v>
      </c>
      <c r="W37" s="55" t="s">
        <v>50</v>
      </c>
      <c r="X37" s="55" t="s">
        <v>50</v>
      </c>
      <c r="Y37" s="55" t="s">
        <v>50</v>
      </c>
      <c r="Z37" s="56" t="s">
        <v>50</v>
      </c>
      <c r="AA37" s="55">
        <v>76</v>
      </c>
      <c r="AB37" s="55">
        <v>70</v>
      </c>
      <c r="AC37" s="55">
        <v>70</v>
      </c>
      <c r="AD37" s="55">
        <v>18</v>
      </c>
      <c r="AE37" s="55">
        <v>30.8</v>
      </c>
      <c r="AF37" s="55">
        <v>24</v>
      </c>
      <c r="AG37" s="55">
        <v>72.8</v>
      </c>
      <c r="AH37" s="55">
        <v>288.8</v>
      </c>
    </row>
    <row r="38" ht="18.75" spans="1:34">
      <c r="A38" s="46" t="s">
        <v>316</v>
      </c>
      <c r="B38" s="2">
        <v>69</v>
      </c>
      <c r="C38" s="55">
        <v>84</v>
      </c>
      <c r="D38" s="55">
        <v>89</v>
      </c>
      <c r="E38" s="55">
        <v>85</v>
      </c>
      <c r="F38" s="55">
        <v>34</v>
      </c>
      <c r="G38" s="55">
        <v>44</v>
      </c>
      <c r="H38" s="55">
        <v>24</v>
      </c>
      <c r="I38" s="55">
        <f>SUM(F38:H38)</f>
        <v>102</v>
      </c>
      <c r="J38" s="55">
        <v>370</v>
      </c>
      <c r="K38" s="55">
        <v>74</v>
      </c>
      <c r="L38" s="55">
        <v>99</v>
      </c>
      <c r="M38" s="55">
        <v>88</v>
      </c>
      <c r="N38" s="55">
        <v>42</v>
      </c>
      <c r="O38" s="55">
        <v>41.4</v>
      </c>
      <c r="P38" s="55">
        <v>18</v>
      </c>
      <c r="Q38" s="55">
        <v>101.4</v>
      </c>
      <c r="R38" s="55">
        <v>362.4</v>
      </c>
      <c r="S38" s="55">
        <v>78</v>
      </c>
      <c r="T38" s="55">
        <v>90</v>
      </c>
      <c r="U38" s="55">
        <v>84</v>
      </c>
      <c r="V38" s="55">
        <v>34</v>
      </c>
      <c r="W38" s="55">
        <v>42.9</v>
      </c>
      <c r="X38" s="55">
        <v>26</v>
      </c>
      <c r="Y38" s="55">
        <v>102.9</v>
      </c>
      <c r="Z38" s="56">
        <v>354.9</v>
      </c>
      <c r="AA38" s="55">
        <v>90</v>
      </c>
      <c r="AB38" s="55">
        <v>96</v>
      </c>
      <c r="AC38" s="55">
        <v>84</v>
      </c>
      <c r="AD38" s="55">
        <v>36</v>
      </c>
      <c r="AE38" s="55">
        <v>30.3</v>
      </c>
      <c r="AF38" s="55">
        <v>24</v>
      </c>
      <c r="AG38" s="55">
        <v>90.3</v>
      </c>
      <c r="AH38" s="55">
        <v>360.3</v>
      </c>
    </row>
    <row r="39" ht="18.75" spans="1:34">
      <c r="A39" s="46" t="s">
        <v>317</v>
      </c>
      <c r="B39" s="2">
        <v>61</v>
      </c>
      <c r="C39" s="55">
        <v>78</v>
      </c>
      <c r="D39" s="55">
        <v>89</v>
      </c>
      <c r="E39" s="55">
        <v>70</v>
      </c>
      <c r="F39" s="55">
        <v>39</v>
      </c>
      <c r="G39" s="55">
        <v>47</v>
      </c>
      <c r="H39" s="55">
        <v>20</v>
      </c>
      <c r="I39" s="55">
        <v>106</v>
      </c>
      <c r="J39" s="55">
        <v>343</v>
      </c>
      <c r="K39" s="55">
        <v>80</v>
      </c>
      <c r="L39" s="55">
        <v>92</v>
      </c>
      <c r="M39" s="55">
        <v>82</v>
      </c>
      <c r="N39" s="55">
        <v>30</v>
      </c>
      <c r="O39" s="55">
        <v>37.2</v>
      </c>
      <c r="P39" s="55">
        <v>17</v>
      </c>
      <c r="Q39" s="55">
        <v>84.2</v>
      </c>
      <c r="R39" s="55">
        <v>338.2</v>
      </c>
      <c r="S39" s="55">
        <v>80</v>
      </c>
      <c r="T39" s="55">
        <v>70</v>
      </c>
      <c r="U39" s="55">
        <v>80</v>
      </c>
      <c r="V39" s="55">
        <v>24</v>
      </c>
      <c r="W39" s="55">
        <v>39.7</v>
      </c>
      <c r="X39" s="55">
        <v>24</v>
      </c>
      <c r="Y39" s="55">
        <v>87.7</v>
      </c>
      <c r="Z39" s="56">
        <v>317.7</v>
      </c>
      <c r="AA39" s="55">
        <v>80</v>
      </c>
      <c r="AB39" s="55">
        <v>86</v>
      </c>
      <c r="AC39" s="55">
        <v>58</v>
      </c>
      <c r="AD39" s="55">
        <v>27</v>
      </c>
      <c r="AE39" s="55">
        <v>38.8</v>
      </c>
      <c r="AF39" s="55">
        <v>25</v>
      </c>
      <c r="AG39" s="55">
        <v>90.8</v>
      </c>
      <c r="AH39" s="55">
        <v>314.8</v>
      </c>
    </row>
    <row r="40" ht="18.75" spans="1:34">
      <c r="A40" s="46" t="s">
        <v>318</v>
      </c>
      <c r="B40" s="2">
        <v>52</v>
      </c>
      <c r="C40" s="55">
        <v>80</v>
      </c>
      <c r="D40" s="55">
        <v>92</v>
      </c>
      <c r="E40" s="55">
        <v>78</v>
      </c>
      <c r="F40" s="55">
        <v>40</v>
      </c>
      <c r="G40" s="55">
        <v>39</v>
      </c>
      <c r="H40" s="55">
        <v>19</v>
      </c>
      <c r="I40" s="55">
        <v>98</v>
      </c>
      <c r="J40" s="55">
        <v>348</v>
      </c>
      <c r="K40" s="55">
        <v>60</v>
      </c>
      <c r="L40" s="55">
        <v>88</v>
      </c>
      <c r="M40" s="55">
        <v>74</v>
      </c>
      <c r="N40" s="55">
        <v>28</v>
      </c>
      <c r="O40" s="55">
        <v>32.8</v>
      </c>
      <c r="P40" s="55">
        <v>23</v>
      </c>
      <c r="Q40" s="55">
        <v>83.8</v>
      </c>
      <c r="R40" s="55">
        <v>305.8</v>
      </c>
      <c r="S40" s="55">
        <v>78</v>
      </c>
      <c r="T40" s="55">
        <v>80</v>
      </c>
      <c r="U40" s="55">
        <v>68</v>
      </c>
      <c r="V40" s="55">
        <v>32</v>
      </c>
      <c r="W40" s="55">
        <v>45.2</v>
      </c>
      <c r="X40" s="55">
        <v>27</v>
      </c>
      <c r="Y40" s="55">
        <v>104.2</v>
      </c>
      <c r="Z40" s="56">
        <v>330.2</v>
      </c>
      <c r="AA40" s="55">
        <v>74</v>
      </c>
      <c r="AB40" s="55">
        <v>85</v>
      </c>
      <c r="AC40" s="55">
        <v>71</v>
      </c>
      <c r="AD40" s="55">
        <v>38</v>
      </c>
      <c r="AE40" s="55">
        <v>36.9</v>
      </c>
      <c r="AF40" s="55">
        <v>24</v>
      </c>
      <c r="AG40" s="55">
        <v>98.9</v>
      </c>
      <c r="AH40" s="55">
        <v>328.9</v>
      </c>
    </row>
    <row r="41" ht="18.75" spans="1:34">
      <c r="A41" s="46" t="s">
        <v>319</v>
      </c>
      <c r="B41" s="2">
        <v>23</v>
      </c>
      <c r="C41" s="55">
        <v>60</v>
      </c>
      <c r="D41" s="55">
        <v>96</v>
      </c>
      <c r="E41" s="55">
        <v>57</v>
      </c>
      <c r="F41" s="55">
        <v>40</v>
      </c>
      <c r="G41" s="55">
        <v>41</v>
      </c>
      <c r="H41" s="55">
        <v>22</v>
      </c>
      <c r="I41" s="55">
        <v>103</v>
      </c>
      <c r="J41" s="55">
        <v>316</v>
      </c>
      <c r="K41" s="55">
        <v>72</v>
      </c>
      <c r="L41" s="55">
        <v>100</v>
      </c>
      <c r="M41" s="55">
        <v>65</v>
      </c>
      <c r="N41" s="55">
        <v>39</v>
      </c>
      <c r="O41" s="55">
        <v>43.8</v>
      </c>
      <c r="P41" s="55">
        <v>25</v>
      </c>
      <c r="Q41" s="55">
        <v>107.8</v>
      </c>
      <c r="R41" s="55">
        <v>344.8</v>
      </c>
      <c r="S41" s="55">
        <v>80</v>
      </c>
      <c r="T41" s="55">
        <v>92</v>
      </c>
      <c r="U41" s="55">
        <v>86</v>
      </c>
      <c r="V41" s="55">
        <v>33</v>
      </c>
      <c r="W41" s="55">
        <v>44.8</v>
      </c>
      <c r="X41" s="55">
        <v>26</v>
      </c>
      <c r="Y41" s="55">
        <v>103.8</v>
      </c>
      <c r="Z41" s="56">
        <v>361.8</v>
      </c>
      <c r="AA41" s="55">
        <v>84</v>
      </c>
      <c r="AB41" s="55">
        <v>97</v>
      </c>
      <c r="AC41" s="55">
        <v>76</v>
      </c>
      <c r="AD41" s="55">
        <v>35</v>
      </c>
      <c r="AE41" s="55">
        <v>39.6</v>
      </c>
      <c r="AF41" s="55">
        <v>22</v>
      </c>
      <c r="AG41" s="55">
        <v>96.6</v>
      </c>
      <c r="AH41" s="55">
        <v>353.6</v>
      </c>
    </row>
    <row r="42" ht="18.75" spans="1:34">
      <c r="A42" s="46" t="s">
        <v>320</v>
      </c>
      <c r="B42" s="2">
        <v>44</v>
      </c>
      <c r="C42" s="55">
        <v>86</v>
      </c>
      <c r="D42" s="55">
        <v>95</v>
      </c>
      <c r="E42" s="55">
        <v>93</v>
      </c>
      <c r="F42" s="55">
        <v>45</v>
      </c>
      <c r="G42" s="55">
        <v>51</v>
      </c>
      <c r="H42" s="55">
        <v>22</v>
      </c>
      <c r="I42" s="55">
        <v>118</v>
      </c>
      <c r="J42" s="55">
        <v>392</v>
      </c>
      <c r="K42" s="55">
        <v>72</v>
      </c>
      <c r="L42" s="55">
        <v>97</v>
      </c>
      <c r="M42" s="55">
        <v>86</v>
      </c>
      <c r="N42" s="55">
        <v>46</v>
      </c>
      <c r="O42" s="55">
        <v>57.3</v>
      </c>
      <c r="P42" s="55">
        <v>22</v>
      </c>
      <c r="Q42" s="55">
        <v>125.3</v>
      </c>
      <c r="R42" s="55">
        <v>380.3</v>
      </c>
      <c r="S42" s="55" t="s">
        <v>50</v>
      </c>
      <c r="T42" s="55" t="s">
        <v>50</v>
      </c>
      <c r="U42" s="55" t="s">
        <v>50</v>
      </c>
      <c r="V42" s="55" t="s">
        <v>50</v>
      </c>
      <c r="W42" s="55" t="s">
        <v>50</v>
      </c>
      <c r="X42" s="55" t="s">
        <v>50</v>
      </c>
      <c r="Y42" s="55" t="s">
        <v>50</v>
      </c>
      <c r="Z42" s="56" t="s">
        <v>50</v>
      </c>
      <c r="AA42" s="55">
        <v>88</v>
      </c>
      <c r="AB42" s="55">
        <v>94</v>
      </c>
      <c r="AC42" s="55">
        <v>79</v>
      </c>
      <c r="AD42" s="55">
        <v>42</v>
      </c>
      <c r="AE42" s="55">
        <v>49.7</v>
      </c>
      <c r="AF42" s="55">
        <v>22</v>
      </c>
      <c r="AG42" s="55">
        <v>113.7</v>
      </c>
      <c r="AH42" s="55">
        <v>374.7</v>
      </c>
    </row>
    <row r="43" ht="18.75" spans="1:34">
      <c r="A43" s="46" t="s">
        <v>321</v>
      </c>
      <c r="B43" s="2">
        <v>20</v>
      </c>
      <c r="C43" s="55">
        <v>88</v>
      </c>
      <c r="D43" s="55">
        <v>92</v>
      </c>
      <c r="E43" s="55">
        <v>77</v>
      </c>
      <c r="F43" s="55">
        <v>46</v>
      </c>
      <c r="G43" s="55">
        <v>47</v>
      </c>
      <c r="H43" s="55">
        <v>18</v>
      </c>
      <c r="I43" s="55">
        <v>111</v>
      </c>
      <c r="J43" s="55">
        <v>368</v>
      </c>
      <c r="K43" s="55">
        <v>70</v>
      </c>
      <c r="L43" s="55">
        <v>90</v>
      </c>
      <c r="M43" s="55">
        <v>68</v>
      </c>
      <c r="N43" s="55">
        <v>40.3</v>
      </c>
      <c r="O43" s="55">
        <v>28</v>
      </c>
      <c r="P43" s="55">
        <v>15</v>
      </c>
      <c r="Q43" s="16">
        <v>83.3</v>
      </c>
      <c r="R43" s="55">
        <v>311.3</v>
      </c>
      <c r="S43" s="55">
        <v>78</v>
      </c>
      <c r="T43" s="55">
        <v>83</v>
      </c>
      <c r="U43" s="55">
        <v>72</v>
      </c>
      <c r="V43" s="55">
        <v>27</v>
      </c>
      <c r="W43" s="55">
        <v>36.8</v>
      </c>
      <c r="X43" s="55">
        <v>25</v>
      </c>
      <c r="Y43" s="55">
        <v>88.8</v>
      </c>
      <c r="Z43" s="56">
        <v>321.8</v>
      </c>
      <c r="AA43" s="55">
        <v>88</v>
      </c>
      <c r="AB43" s="55">
        <v>76</v>
      </c>
      <c r="AC43" s="55">
        <v>56</v>
      </c>
      <c r="AD43" s="55">
        <v>35</v>
      </c>
      <c r="AE43" s="55">
        <v>41.5</v>
      </c>
      <c r="AF43" s="55">
        <v>24</v>
      </c>
      <c r="AG43" s="55">
        <v>100.5</v>
      </c>
      <c r="AH43" s="55">
        <v>320.5</v>
      </c>
    </row>
    <row r="44" ht="18.75" spans="1:34">
      <c r="A44" s="46" t="s">
        <v>322</v>
      </c>
      <c r="B44" s="2">
        <v>66</v>
      </c>
      <c r="C44" s="55">
        <v>66</v>
      </c>
      <c r="D44" s="55">
        <v>81</v>
      </c>
      <c r="E44" s="55">
        <v>71</v>
      </c>
      <c r="F44" s="55">
        <v>41</v>
      </c>
      <c r="G44" s="55">
        <v>41</v>
      </c>
      <c r="H44" s="55">
        <v>19</v>
      </c>
      <c r="I44" s="55">
        <v>101</v>
      </c>
      <c r="J44" s="55">
        <v>319</v>
      </c>
      <c r="K44" s="55">
        <v>48</v>
      </c>
      <c r="L44" s="55">
        <v>39</v>
      </c>
      <c r="M44" s="55">
        <v>50</v>
      </c>
      <c r="N44" s="55" t="s">
        <v>50</v>
      </c>
      <c r="O44" s="55" t="s">
        <v>50</v>
      </c>
      <c r="P44" s="55" t="s">
        <v>50</v>
      </c>
      <c r="Q44" s="55" t="s">
        <v>50</v>
      </c>
      <c r="R44" s="55" t="s">
        <v>50</v>
      </c>
      <c r="S44" s="55">
        <v>56</v>
      </c>
      <c r="T44" s="55">
        <v>44</v>
      </c>
      <c r="U44" s="55">
        <v>44</v>
      </c>
      <c r="V44" s="55">
        <v>15</v>
      </c>
      <c r="W44" s="55">
        <v>27.5</v>
      </c>
      <c r="X44" s="55">
        <v>19</v>
      </c>
      <c r="Y44" s="55">
        <v>61.5</v>
      </c>
      <c r="Z44" s="56">
        <v>205.5</v>
      </c>
      <c r="AA44" s="55">
        <v>64</v>
      </c>
      <c r="AB44" s="55">
        <v>52</v>
      </c>
      <c r="AC44" s="55">
        <v>49</v>
      </c>
      <c r="AD44" s="55">
        <v>31</v>
      </c>
      <c r="AE44" s="55">
        <v>29.3</v>
      </c>
      <c r="AF44" s="55">
        <v>17</v>
      </c>
      <c r="AG44" s="55">
        <v>77.3</v>
      </c>
      <c r="AH44" s="55">
        <v>242.3</v>
      </c>
    </row>
    <row r="45" ht="18.75" spans="1:34">
      <c r="A45" s="47" t="s">
        <v>323</v>
      </c>
      <c r="B45" s="48">
        <v>38</v>
      </c>
      <c r="C45" s="55">
        <v>58</v>
      </c>
      <c r="D45" s="55">
        <v>74</v>
      </c>
      <c r="E45" s="55">
        <v>30</v>
      </c>
      <c r="F45" s="55">
        <v>37</v>
      </c>
      <c r="G45" s="55">
        <v>38</v>
      </c>
      <c r="H45" s="55">
        <v>22</v>
      </c>
      <c r="I45" s="55">
        <v>97</v>
      </c>
      <c r="J45" s="55">
        <v>259</v>
      </c>
      <c r="K45" s="55">
        <v>48</v>
      </c>
      <c r="L45" s="55">
        <v>68</v>
      </c>
      <c r="M45" s="55">
        <v>35</v>
      </c>
      <c r="N45" s="55">
        <v>44</v>
      </c>
      <c r="O45" s="55">
        <v>34.4</v>
      </c>
      <c r="P45" s="55">
        <v>20</v>
      </c>
      <c r="Q45" s="55">
        <v>98.4</v>
      </c>
      <c r="R45" s="55">
        <v>249.4</v>
      </c>
      <c r="S45" s="55">
        <v>60</v>
      </c>
      <c r="T45" s="55">
        <v>79</v>
      </c>
      <c r="U45" s="55">
        <v>46</v>
      </c>
      <c r="V45" s="55">
        <v>36</v>
      </c>
      <c r="W45" s="55">
        <v>32.6</v>
      </c>
      <c r="X45" s="55">
        <v>18</v>
      </c>
      <c r="Y45" s="55">
        <v>86.6</v>
      </c>
      <c r="Z45" s="56">
        <v>270.6</v>
      </c>
      <c r="AA45" s="55">
        <v>68</v>
      </c>
      <c r="AB45" s="55">
        <v>72</v>
      </c>
      <c r="AC45" s="55">
        <v>35</v>
      </c>
      <c r="AD45" s="55">
        <v>33</v>
      </c>
      <c r="AE45" s="55">
        <v>31.9</v>
      </c>
      <c r="AF45" s="55">
        <v>21</v>
      </c>
      <c r="AG45" s="55">
        <v>85.9</v>
      </c>
      <c r="AH45" s="55">
        <v>260.9</v>
      </c>
    </row>
    <row r="46" ht="18.75" spans="1:34">
      <c r="A46" s="57" t="s">
        <v>324</v>
      </c>
      <c r="B46" s="48">
        <v>58</v>
      </c>
      <c r="C46" s="55">
        <v>88</v>
      </c>
      <c r="D46" s="55">
        <v>98</v>
      </c>
      <c r="E46" s="55">
        <v>98</v>
      </c>
      <c r="F46" s="55">
        <v>51</v>
      </c>
      <c r="G46" s="55">
        <v>54</v>
      </c>
      <c r="H46" s="55">
        <v>20</v>
      </c>
      <c r="I46" s="55">
        <v>125</v>
      </c>
      <c r="J46" s="55">
        <v>409</v>
      </c>
      <c r="K46" s="55">
        <v>82</v>
      </c>
      <c r="L46" s="55">
        <v>99</v>
      </c>
      <c r="M46" s="55">
        <v>84</v>
      </c>
      <c r="N46" s="55">
        <v>57</v>
      </c>
      <c r="O46" s="55">
        <v>48</v>
      </c>
      <c r="P46" s="55">
        <v>23</v>
      </c>
      <c r="Q46" s="55">
        <v>128</v>
      </c>
      <c r="R46" s="55">
        <v>393</v>
      </c>
      <c r="S46" s="55">
        <v>92</v>
      </c>
      <c r="T46" s="55">
        <v>91</v>
      </c>
      <c r="U46" s="55">
        <v>80</v>
      </c>
      <c r="V46" s="55">
        <v>47</v>
      </c>
      <c r="W46" s="55">
        <v>47.9</v>
      </c>
      <c r="X46" s="55">
        <v>24</v>
      </c>
      <c r="Y46" s="55">
        <v>118.9</v>
      </c>
      <c r="Z46" s="56">
        <v>381.9</v>
      </c>
      <c r="AA46" s="55">
        <v>92</v>
      </c>
      <c r="AB46" s="55">
        <v>96</v>
      </c>
      <c r="AC46" s="55">
        <v>75</v>
      </c>
      <c r="AD46" s="55">
        <v>53</v>
      </c>
      <c r="AE46" s="55">
        <v>51.6</v>
      </c>
      <c r="AF46" s="55">
        <v>25</v>
      </c>
      <c r="AG46" s="55">
        <v>129.6</v>
      </c>
      <c r="AH46" s="55">
        <v>392.6</v>
      </c>
    </row>
    <row r="47" ht="18.75" spans="1:34">
      <c r="A47" s="14" t="s">
        <v>325</v>
      </c>
      <c r="B47" s="2" t="s">
        <v>326</v>
      </c>
      <c r="C47" s="55">
        <v>60</v>
      </c>
      <c r="D47" s="55">
        <v>86</v>
      </c>
      <c r="E47" s="55">
        <v>49</v>
      </c>
      <c r="F47" s="55">
        <v>37</v>
      </c>
      <c r="G47" s="55">
        <v>37</v>
      </c>
      <c r="H47" s="55">
        <v>17</v>
      </c>
      <c r="I47" s="55">
        <v>91</v>
      </c>
      <c r="J47" s="55">
        <v>286</v>
      </c>
      <c r="K47" s="55">
        <v>64</v>
      </c>
      <c r="L47" s="55">
        <v>91</v>
      </c>
      <c r="M47" s="55">
        <v>66</v>
      </c>
      <c r="N47" s="55">
        <v>18</v>
      </c>
      <c r="O47" s="55">
        <v>42.1</v>
      </c>
      <c r="P47" s="55">
        <v>16</v>
      </c>
      <c r="Q47" s="55">
        <v>76.1</v>
      </c>
      <c r="R47" s="55">
        <v>297.1</v>
      </c>
      <c r="S47" s="55" t="s">
        <v>50</v>
      </c>
      <c r="T47" s="55" t="s">
        <v>50</v>
      </c>
      <c r="U47" s="55" t="s">
        <v>50</v>
      </c>
      <c r="V47" s="55" t="s">
        <v>50</v>
      </c>
      <c r="W47" s="55" t="s">
        <v>50</v>
      </c>
      <c r="X47" s="55" t="s">
        <v>50</v>
      </c>
      <c r="Y47" s="55" t="s">
        <v>50</v>
      </c>
      <c r="Z47" s="56" t="s">
        <v>50</v>
      </c>
      <c r="AA47" s="55">
        <v>66</v>
      </c>
      <c r="AB47" s="55">
        <v>75</v>
      </c>
      <c r="AC47" s="55">
        <v>56</v>
      </c>
      <c r="AD47" s="55">
        <v>14</v>
      </c>
      <c r="AE47" s="55">
        <v>41.3</v>
      </c>
      <c r="AF47" s="55">
        <v>16</v>
      </c>
      <c r="AG47" s="55">
        <v>71.3</v>
      </c>
      <c r="AH47" s="55">
        <v>268.3</v>
      </c>
    </row>
    <row r="48" ht="18.75" spans="1:34">
      <c r="A48" s="14" t="s">
        <v>327</v>
      </c>
      <c r="B48" s="2">
        <v>45</v>
      </c>
      <c r="C48" s="55">
        <v>68</v>
      </c>
      <c r="D48" s="55">
        <v>90</v>
      </c>
      <c r="E48" s="55">
        <v>71</v>
      </c>
      <c r="F48" s="55">
        <v>33</v>
      </c>
      <c r="G48" s="55">
        <v>35</v>
      </c>
      <c r="H48" s="55">
        <v>22</v>
      </c>
      <c r="I48" s="55">
        <v>90</v>
      </c>
      <c r="J48" s="55">
        <v>319</v>
      </c>
      <c r="K48" s="55" t="s">
        <v>50</v>
      </c>
      <c r="L48" s="55" t="s">
        <v>50</v>
      </c>
      <c r="M48" s="55" t="s">
        <v>50</v>
      </c>
      <c r="N48" s="55" t="s">
        <v>50</v>
      </c>
      <c r="O48" s="55" t="s">
        <v>50</v>
      </c>
      <c r="P48" s="55" t="s">
        <v>50</v>
      </c>
      <c r="Q48" s="55" t="s">
        <v>50</v>
      </c>
      <c r="R48" s="55" t="s">
        <v>50</v>
      </c>
      <c r="S48" s="55">
        <v>66</v>
      </c>
      <c r="T48" s="55">
        <v>95</v>
      </c>
      <c r="U48" s="55">
        <v>69</v>
      </c>
      <c r="V48" s="55">
        <v>22</v>
      </c>
      <c r="W48" s="55">
        <v>32.8</v>
      </c>
      <c r="X48" s="55">
        <v>22</v>
      </c>
      <c r="Y48" s="55">
        <v>76.8</v>
      </c>
      <c r="Z48" s="56">
        <v>306.8</v>
      </c>
      <c r="AA48" s="55">
        <v>82</v>
      </c>
      <c r="AB48" s="55">
        <v>95</v>
      </c>
      <c r="AC48" s="55">
        <v>69</v>
      </c>
      <c r="AD48" s="55">
        <v>21</v>
      </c>
      <c r="AE48" s="55">
        <v>35.2</v>
      </c>
      <c r="AF48" s="55">
        <v>21</v>
      </c>
      <c r="AG48" s="55">
        <v>77.2</v>
      </c>
      <c r="AH48" s="55">
        <v>323.2</v>
      </c>
    </row>
    <row r="49" ht="18.75" spans="1:34">
      <c r="A49" s="14" t="s">
        <v>328</v>
      </c>
      <c r="B49" s="2"/>
      <c r="C49" s="55">
        <v>60</v>
      </c>
      <c r="D49" s="55">
        <v>74</v>
      </c>
      <c r="E49" s="55">
        <v>60</v>
      </c>
      <c r="F49" s="55">
        <v>36</v>
      </c>
      <c r="G49" s="55">
        <v>48</v>
      </c>
      <c r="H49" s="55">
        <v>15</v>
      </c>
      <c r="I49" s="55">
        <v>99</v>
      </c>
      <c r="J49" s="55">
        <v>293</v>
      </c>
      <c r="K49" s="55" t="s">
        <v>50</v>
      </c>
      <c r="L49" s="55" t="s">
        <v>50</v>
      </c>
      <c r="M49" s="55" t="s">
        <v>50</v>
      </c>
      <c r="N49" s="55" t="s">
        <v>50</v>
      </c>
      <c r="O49" s="55" t="s">
        <v>50</v>
      </c>
      <c r="P49" s="55" t="s">
        <v>50</v>
      </c>
      <c r="Q49" s="55" t="s">
        <v>50</v>
      </c>
      <c r="R49" s="55" t="s">
        <v>50</v>
      </c>
      <c r="S49" s="55">
        <v>64</v>
      </c>
      <c r="T49" s="55">
        <v>76</v>
      </c>
      <c r="U49" s="55">
        <v>65</v>
      </c>
      <c r="V49" s="55">
        <v>27</v>
      </c>
      <c r="W49" s="55">
        <v>27.5</v>
      </c>
      <c r="X49" s="55">
        <v>20</v>
      </c>
      <c r="Y49" s="55">
        <v>74.5</v>
      </c>
      <c r="Z49" s="56">
        <v>279.5</v>
      </c>
      <c r="AA49" s="55">
        <v>70</v>
      </c>
      <c r="AB49" s="55">
        <v>90</v>
      </c>
      <c r="AC49" s="55">
        <v>72</v>
      </c>
      <c r="AD49" s="55">
        <v>22</v>
      </c>
      <c r="AE49" s="55">
        <v>27.6</v>
      </c>
      <c r="AF49" s="55">
        <v>22</v>
      </c>
      <c r="AG49" s="55">
        <v>71.6</v>
      </c>
      <c r="AH49" s="55">
        <v>303.6</v>
      </c>
    </row>
    <row r="50" ht="18.75" spans="1:34">
      <c r="A50" s="14" t="s">
        <v>329</v>
      </c>
      <c r="B50" s="3"/>
      <c r="C50" s="3"/>
      <c r="D50" s="3"/>
      <c r="E50" s="3"/>
      <c r="F50" s="3"/>
      <c r="G50" s="3"/>
      <c r="H50" s="3"/>
      <c r="I50" s="3"/>
      <c r="J50" s="3"/>
      <c r="K50" s="12">
        <v>68</v>
      </c>
      <c r="L50" s="12">
        <v>82</v>
      </c>
      <c r="M50" s="12">
        <v>86</v>
      </c>
      <c r="N50" s="12">
        <v>28</v>
      </c>
      <c r="O50" s="12">
        <v>39.7</v>
      </c>
      <c r="P50" s="12">
        <v>19</v>
      </c>
      <c r="Q50" s="12">
        <v>86.7</v>
      </c>
      <c r="R50" s="55">
        <v>322.7</v>
      </c>
      <c r="S50" s="55">
        <v>78</v>
      </c>
      <c r="T50" s="55">
        <v>71</v>
      </c>
      <c r="U50" s="55">
        <v>90</v>
      </c>
      <c r="V50" s="55">
        <v>22</v>
      </c>
      <c r="W50" s="55">
        <v>38.1</v>
      </c>
      <c r="X50" s="55">
        <v>25</v>
      </c>
      <c r="Y50" s="55">
        <v>85.1</v>
      </c>
      <c r="Z50" s="56">
        <v>324.1</v>
      </c>
      <c r="AA50" s="55">
        <v>80</v>
      </c>
      <c r="AB50" s="55">
        <v>77</v>
      </c>
      <c r="AC50" s="55">
        <v>82</v>
      </c>
      <c r="AD50" s="55">
        <v>39</v>
      </c>
      <c r="AE50" s="55">
        <v>41.1</v>
      </c>
      <c r="AF50" s="55">
        <v>21</v>
      </c>
      <c r="AG50" s="55">
        <v>101.1</v>
      </c>
      <c r="AH50" s="55">
        <v>340.1</v>
      </c>
    </row>
    <row r="51" ht="18.75" spans="1:34">
      <c r="A51" s="14" t="s">
        <v>330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55">
        <v>44</v>
      </c>
      <c r="T51" s="55">
        <v>76</v>
      </c>
      <c r="U51" s="55">
        <v>65</v>
      </c>
      <c r="V51" s="55">
        <v>14</v>
      </c>
      <c r="W51" s="55">
        <v>25.8</v>
      </c>
      <c r="X51" s="55">
        <v>24</v>
      </c>
      <c r="Y51" s="55">
        <v>63.8</v>
      </c>
      <c r="Z51" s="55">
        <v>248.8</v>
      </c>
      <c r="AA51" s="55">
        <v>86</v>
      </c>
      <c r="AB51" s="55">
        <v>81</v>
      </c>
      <c r="AC51" s="55">
        <v>41</v>
      </c>
      <c r="AD51" s="55">
        <v>31</v>
      </c>
      <c r="AE51" s="55">
        <v>38.7</v>
      </c>
      <c r="AF51" s="55">
        <v>22</v>
      </c>
      <c r="AG51" s="55">
        <v>91.7</v>
      </c>
      <c r="AH51" s="55">
        <v>299.7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C1:J1"/>
    <mergeCell ref="K1:R1"/>
    <mergeCell ref="S1:Z1"/>
    <mergeCell ref="AA1:AH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zoomScale="55" zoomScaleNormal="55" workbookViewId="0">
      <pane xSplit="1" topLeftCell="B1" activePane="topRight" state="frozen"/>
      <selection/>
      <selection pane="topRight" activeCell="AF2" sqref="H2 P2 X2 AF2"/>
    </sheetView>
  </sheetViews>
  <sheetFormatPr defaultColWidth="9.64166666666667" defaultRowHeight="13.5"/>
  <cols>
    <col min="1" max="1" width="8.75" customWidth="1"/>
    <col min="2" max="2" width="8.875" customWidth="1"/>
    <col min="3" max="4" width="5.125" customWidth="1"/>
    <col min="5" max="7" width="8.875" customWidth="1"/>
    <col min="8" max="8" width="10.875" customWidth="1"/>
    <col min="9" max="9" width="8.875" customWidth="1"/>
    <col min="10" max="12" width="5.125" customWidth="1"/>
    <col min="13" max="15" width="8.875" customWidth="1"/>
    <col min="16" max="16" width="10.875" customWidth="1"/>
    <col min="17" max="17" width="8.875" customWidth="1"/>
    <col min="18" max="20" width="5.125" customWidth="1"/>
    <col min="21" max="23" width="8.875" customWidth="1"/>
    <col min="24" max="24" width="10.875" customWidth="1"/>
    <col min="25" max="25" width="8.875" customWidth="1"/>
    <col min="26" max="28" width="5.125" customWidth="1"/>
    <col min="29" max="31" width="8.875" customWidth="1"/>
    <col min="32" max="32" width="10.875" customWidth="1"/>
    <col min="33" max="33" width="8.875" customWidth="1"/>
    <col min="34" max="34" width="5.125" customWidth="1"/>
  </cols>
  <sheetData>
    <row r="1" ht="18.75" spans="1:34">
      <c r="A1" s="4"/>
      <c r="B1" s="5" t="s">
        <v>281</v>
      </c>
      <c r="C1" s="5" t="s">
        <v>0</v>
      </c>
      <c r="D1" s="5"/>
      <c r="E1" s="5"/>
      <c r="F1" s="5"/>
      <c r="G1" s="5"/>
      <c r="H1" s="5"/>
      <c r="I1" s="5"/>
      <c r="J1" s="5"/>
      <c r="K1" s="5" t="s">
        <v>1</v>
      </c>
      <c r="L1" s="5"/>
      <c r="M1" s="5"/>
      <c r="N1" s="5"/>
      <c r="O1" s="5"/>
      <c r="P1" s="5"/>
      <c r="Q1" s="5"/>
      <c r="R1" s="5"/>
      <c r="S1" s="5" t="s">
        <v>2</v>
      </c>
      <c r="T1" s="5"/>
      <c r="U1" s="5"/>
      <c r="V1" s="5"/>
      <c r="W1" s="5"/>
      <c r="X1" s="5"/>
      <c r="Y1" s="5"/>
      <c r="Z1" s="5"/>
      <c r="AA1" s="5" t="s">
        <v>3</v>
      </c>
      <c r="AB1" s="5"/>
      <c r="AC1" s="5"/>
      <c r="AD1" s="5"/>
      <c r="AE1" s="5"/>
      <c r="AF1" s="5"/>
      <c r="AG1" s="5"/>
      <c r="AH1" s="5"/>
    </row>
    <row r="2" ht="18.75" spans="1:34">
      <c r="A2" s="49" t="s">
        <v>4</v>
      </c>
      <c r="B2" s="2" t="s">
        <v>7</v>
      </c>
      <c r="C2" s="50" t="s">
        <v>5</v>
      </c>
      <c r="D2" s="50" t="s">
        <v>6</v>
      </c>
      <c r="E2" s="48" t="s">
        <v>7</v>
      </c>
      <c r="F2" s="50" t="s">
        <v>331</v>
      </c>
      <c r="G2" s="50" t="s">
        <v>332</v>
      </c>
      <c r="H2" s="50" t="s">
        <v>333</v>
      </c>
      <c r="I2" s="50" t="s">
        <v>10</v>
      </c>
      <c r="J2" s="50" t="s">
        <v>11</v>
      </c>
      <c r="K2" s="50" t="s">
        <v>5</v>
      </c>
      <c r="L2" s="50" t="s">
        <v>6</v>
      </c>
      <c r="M2" s="48" t="s">
        <v>7</v>
      </c>
      <c r="N2" s="50" t="s">
        <v>331</v>
      </c>
      <c r="O2" s="50" t="s">
        <v>332</v>
      </c>
      <c r="P2" s="50" t="s">
        <v>333</v>
      </c>
      <c r="Q2" s="50" t="s">
        <v>10</v>
      </c>
      <c r="R2" s="50" t="s">
        <v>11</v>
      </c>
      <c r="S2" s="50" t="s">
        <v>5</v>
      </c>
      <c r="T2" s="50" t="s">
        <v>6</v>
      </c>
      <c r="U2" s="48" t="s">
        <v>7</v>
      </c>
      <c r="V2" s="50" t="s">
        <v>331</v>
      </c>
      <c r="W2" s="50" t="s">
        <v>332</v>
      </c>
      <c r="X2" s="50" t="s">
        <v>333</v>
      </c>
      <c r="Y2" s="50" t="s">
        <v>10</v>
      </c>
      <c r="Z2" s="50" t="s">
        <v>11</v>
      </c>
      <c r="AA2" s="50" t="s">
        <v>5</v>
      </c>
      <c r="AB2" s="50" t="s">
        <v>6</v>
      </c>
      <c r="AC2" s="48" t="s">
        <v>7</v>
      </c>
      <c r="AD2" s="50" t="s">
        <v>331</v>
      </c>
      <c r="AE2" s="50" t="s">
        <v>332</v>
      </c>
      <c r="AF2" s="50" t="s">
        <v>333</v>
      </c>
      <c r="AG2" s="50" t="s">
        <v>10</v>
      </c>
      <c r="AH2" s="50" t="s">
        <v>11</v>
      </c>
    </row>
    <row r="3" ht="18.75" spans="1:34">
      <c r="A3" s="46" t="s">
        <v>334</v>
      </c>
      <c r="B3" s="2">
        <v>39</v>
      </c>
      <c r="C3" s="2"/>
      <c r="D3" s="2"/>
      <c r="E3" s="2"/>
      <c r="F3" s="2"/>
      <c r="G3" s="2"/>
      <c r="H3" s="2"/>
      <c r="I3" s="2"/>
      <c r="J3" s="16" t="s">
        <v>14</v>
      </c>
      <c r="K3" s="2"/>
      <c r="L3" s="2"/>
      <c r="M3" s="2"/>
      <c r="N3" s="2"/>
      <c r="O3" s="2"/>
      <c r="P3" s="2"/>
      <c r="Q3" s="2"/>
      <c r="R3" s="16" t="s">
        <v>14</v>
      </c>
      <c r="S3" s="2">
        <v>68</v>
      </c>
      <c r="T3" s="2">
        <v>49</v>
      </c>
      <c r="U3" s="2">
        <v>52</v>
      </c>
      <c r="V3" s="2">
        <v>39</v>
      </c>
      <c r="W3" s="2">
        <v>23</v>
      </c>
      <c r="X3" s="2">
        <v>10</v>
      </c>
      <c r="Y3" s="2">
        <f>V3+W3+X3</f>
        <v>72</v>
      </c>
      <c r="Z3" s="2">
        <f>S3+T3+U3+Y3</f>
        <v>241</v>
      </c>
      <c r="AA3" s="2">
        <v>80</v>
      </c>
      <c r="AB3" s="2">
        <v>41</v>
      </c>
      <c r="AC3" s="2">
        <v>49</v>
      </c>
      <c r="AD3" s="2">
        <v>43</v>
      </c>
      <c r="AE3" s="2">
        <v>40</v>
      </c>
      <c r="AF3" s="2">
        <v>30</v>
      </c>
      <c r="AG3" s="2">
        <v>113</v>
      </c>
      <c r="AH3" s="2">
        <f>AA3+AB3+AC3+AD3+AE3+AF3</f>
        <v>283</v>
      </c>
    </row>
    <row r="4" ht="18.75" spans="1:34">
      <c r="A4" s="46" t="s">
        <v>335</v>
      </c>
      <c r="B4" s="2">
        <v>34</v>
      </c>
      <c r="C4" s="2">
        <v>84</v>
      </c>
      <c r="D4" s="2">
        <v>95</v>
      </c>
      <c r="E4" s="2">
        <v>77</v>
      </c>
      <c r="F4" s="2">
        <v>52</v>
      </c>
      <c r="G4" s="2">
        <v>48</v>
      </c>
      <c r="H4" s="2">
        <v>20</v>
      </c>
      <c r="I4" s="2">
        <f t="shared" ref="I4:I13" si="0">F4+G4+H4</f>
        <v>120</v>
      </c>
      <c r="J4" s="2">
        <f t="shared" ref="J4:J13" si="1">C4+D4+E4+I4</f>
        <v>376</v>
      </c>
      <c r="K4" s="2">
        <v>80</v>
      </c>
      <c r="L4" s="2">
        <v>90</v>
      </c>
      <c r="M4" s="2">
        <v>78</v>
      </c>
      <c r="N4" s="2">
        <v>56</v>
      </c>
      <c r="O4" s="2">
        <v>23</v>
      </c>
      <c r="P4" s="2">
        <v>14</v>
      </c>
      <c r="Q4" s="2">
        <f>N4+O4+P4</f>
        <v>93</v>
      </c>
      <c r="R4" s="2">
        <f>K4+L4+M4+Q4</f>
        <v>341</v>
      </c>
      <c r="S4" s="2">
        <v>76</v>
      </c>
      <c r="T4" s="2">
        <v>87</v>
      </c>
      <c r="U4" s="2">
        <v>78</v>
      </c>
      <c r="V4" s="2">
        <v>50</v>
      </c>
      <c r="W4" s="2">
        <v>26</v>
      </c>
      <c r="X4" s="2">
        <v>24</v>
      </c>
      <c r="Y4" s="2">
        <f t="shared" ref="Y4:Y15" si="2">V4+W4+X4</f>
        <v>100</v>
      </c>
      <c r="Z4" s="2">
        <f t="shared" ref="Z4:Z15" si="3">S4+T4+U4+Y4</f>
        <v>341</v>
      </c>
      <c r="AA4" s="2"/>
      <c r="AB4" s="2"/>
      <c r="AC4" s="2"/>
      <c r="AD4" s="2"/>
      <c r="AE4" s="2"/>
      <c r="AF4" s="2"/>
      <c r="AG4" s="2"/>
      <c r="AH4" s="16" t="s">
        <v>14</v>
      </c>
    </row>
    <row r="5" ht="18.75" spans="1:34">
      <c r="A5" s="46" t="s">
        <v>336</v>
      </c>
      <c r="B5" s="2">
        <v>51</v>
      </c>
      <c r="C5" s="2">
        <v>76</v>
      </c>
      <c r="D5" s="2">
        <v>74</v>
      </c>
      <c r="E5" s="2">
        <v>61</v>
      </c>
      <c r="F5" s="2">
        <v>54</v>
      </c>
      <c r="G5" s="2">
        <v>36</v>
      </c>
      <c r="H5" s="2">
        <v>26</v>
      </c>
      <c r="I5" s="2">
        <f t="shared" si="0"/>
        <v>116</v>
      </c>
      <c r="J5" s="2">
        <f t="shared" si="1"/>
        <v>327</v>
      </c>
      <c r="K5" s="2">
        <v>64</v>
      </c>
      <c r="L5" s="2">
        <v>71</v>
      </c>
      <c r="M5" s="2">
        <v>86</v>
      </c>
      <c r="N5" s="2">
        <v>42</v>
      </c>
      <c r="O5" s="2">
        <v>19</v>
      </c>
      <c r="P5" s="2">
        <v>14</v>
      </c>
      <c r="Q5" s="2">
        <f t="shared" ref="Q5:Q15" si="4">N5+O5+P5</f>
        <v>75</v>
      </c>
      <c r="R5" s="2">
        <f t="shared" ref="R5:R15" si="5">K5+L5+M5+Q5</f>
        <v>296</v>
      </c>
      <c r="S5" s="2">
        <v>68</v>
      </c>
      <c r="T5" s="2">
        <v>63</v>
      </c>
      <c r="U5" s="2">
        <v>73</v>
      </c>
      <c r="V5" s="2">
        <v>47</v>
      </c>
      <c r="W5" s="2">
        <v>26</v>
      </c>
      <c r="X5" s="2">
        <v>24</v>
      </c>
      <c r="Y5" s="2">
        <f t="shared" si="2"/>
        <v>97</v>
      </c>
      <c r="Z5" s="2">
        <f t="shared" si="3"/>
        <v>301</v>
      </c>
      <c r="AA5" s="2">
        <v>68</v>
      </c>
      <c r="AB5" s="2">
        <v>82</v>
      </c>
      <c r="AC5" s="2">
        <v>75</v>
      </c>
      <c r="AD5" s="2">
        <v>41</v>
      </c>
      <c r="AE5" s="2">
        <v>48</v>
      </c>
      <c r="AF5" s="2">
        <v>30</v>
      </c>
      <c r="AG5" s="2">
        <v>119</v>
      </c>
      <c r="AH5" s="2">
        <f t="shared" ref="AH4:AH18" si="6">AA5+AB5+AC5+AD5+AE5+AF5</f>
        <v>344</v>
      </c>
    </row>
    <row r="6" ht="18.75" spans="1:34">
      <c r="A6" s="46" t="s">
        <v>337</v>
      </c>
      <c r="B6" s="2">
        <v>41</v>
      </c>
      <c r="C6" s="2">
        <v>86</v>
      </c>
      <c r="D6" s="2">
        <v>79</v>
      </c>
      <c r="E6" s="2">
        <v>83</v>
      </c>
      <c r="F6" s="2">
        <v>60</v>
      </c>
      <c r="G6" s="2">
        <v>36</v>
      </c>
      <c r="H6" s="2">
        <v>30</v>
      </c>
      <c r="I6" s="2">
        <f t="shared" si="0"/>
        <v>126</v>
      </c>
      <c r="J6" s="2">
        <f t="shared" si="1"/>
        <v>374</v>
      </c>
      <c r="K6" s="2">
        <v>70</v>
      </c>
      <c r="L6" s="2">
        <v>80</v>
      </c>
      <c r="M6" s="2">
        <v>80</v>
      </c>
      <c r="N6" s="2">
        <v>48</v>
      </c>
      <c r="O6" s="2">
        <v>17</v>
      </c>
      <c r="P6" s="2">
        <v>18</v>
      </c>
      <c r="Q6" s="2">
        <f t="shared" si="4"/>
        <v>83</v>
      </c>
      <c r="R6" s="2">
        <f t="shared" si="5"/>
        <v>313</v>
      </c>
      <c r="S6" s="2">
        <v>82</v>
      </c>
      <c r="T6" s="2">
        <v>74</v>
      </c>
      <c r="U6" s="2">
        <v>73</v>
      </c>
      <c r="V6" s="2">
        <v>44</v>
      </c>
      <c r="W6" s="2">
        <v>27</v>
      </c>
      <c r="X6" s="2">
        <v>30</v>
      </c>
      <c r="Y6" s="2">
        <f t="shared" si="2"/>
        <v>101</v>
      </c>
      <c r="Z6" s="2">
        <f t="shared" si="3"/>
        <v>330</v>
      </c>
      <c r="AA6" s="2">
        <v>88</v>
      </c>
      <c r="AB6" s="2">
        <v>90</v>
      </c>
      <c r="AC6" s="2">
        <v>82</v>
      </c>
      <c r="AD6" s="2">
        <v>50</v>
      </c>
      <c r="AE6" s="2">
        <v>46</v>
      </c>
      <c r="AF6" s="2">
        <v>30</v>
      </c>
      <c r="AG6" s="2">
        <v>126</v>
      </c>
      <c r="AH6" s="2">
        <f t="shared" si="6"/>
        <v>386</v>
      </c>
    </row>
    <row r="7" ht="18.75" spans="1:34">
      <c r="A7" s="46" t="s">
        <v>338</v>
      </c>
      <c r="B7" s="2"/>
      <c r="C7" s="2">
        <v>66</v>
      </c>
      <c r="D7" s="2">
        <v>70</v>
      </c>
      <c r="E7" s="2">
        <v>85</v>
      </c>
      <c r="F7" s="2">
        <v>50</v>
      </c>
      <c r="G7" s="2">
        <v>30</v>
      </c>
      <c r="H7" s="2">
        <v>18</v>
      </c>
      <c r="I7" s="2">
        <f t="shared" si="0"/>
        <v>98</v>
      </c>
      <c r="J7" s="2">
        <f t="shared" si="1"/>
        <v>319</v>
      </c>
      <c r="K7" s="2">
        <v>62</v>
      </c>
      <c r="L7" s="2">
        <v>73</v>
      </c>
      <c r="M7" s="2">
        <v>84</v>
      </c>
      <c r="N7" s="2">
        <v>48</v>
      </c>
      <c r="O7" s="2">
        <v>20</v>
      </c>
      <c r="P7" s="2">
        <v>18</v>
      </c>
      <c r="Q7" s="2">
        <f t="shared" si="4"/>
        <v>86</v>
      </c>
      <c r="R7" s="2">
        <f t="shared" si="5"/>
        <v>305</v>
      </c>
      <c r="S7" s="2"/>
      <c r="T7" s="2"/>
      <c r="U7" s="2"/>
      <c r="V7" s="2"/>
      <c r="W7" s="2"/>
      <c r="X7" s="2"/>
      <c r="Y7" s="2"/>
      <c r="Z7" s="16" t="s">
        <v>14</v>
      </c>
      <c r="AA7" s="2">
        <v>84</v>
      </c>
      <c r="AB7" s="2">
        <v>82</v>
      </c>
      <c r="AC7" s="2">
        <v>64</v>
      </c>
      <c r="AD7" s="2">
        <v>50</v>
      </c>
      <c r="AE7" s="2">
        <v>50</v>
      </c>
      <c r="AF7" s="2">
        <v>30</v>
      </c>
      <c r="AG7" s="2">
        <v>130</v>
      </c>
      <c r="AH7" s="2">
        <f t="shared" si="6"/>
        <v>360</v>
      </c>
    </row>
    <row r="8" ht="18.75" spans="1:34">
      <c r="A8" s="46" t="s">
        <v>339</v>
      </c>
      <c r="B8" s="2">
        <v>30</v>
      </c>
      <c r="C8" s="2">
        <v>94</v>
      </c>
      <c r="D8" s="2">
        <v>84</v>
      </c>
      <c r="E8" s="2">
        <v>62</v>
      </c>
      <c r="F8" s="2">
        <v>50</v>
      </c>
      <c r="G8" s="2">
        <v>38</v>
      </c>
      <c r="H8" s="2">
        <v>18</v>
      </c>
      <c r="I8" s="2">
        <f t="shared" si="0"/>
        <v>106</v>
      </c>
      <c r="J8" s="2">
        <f t="shared" si="1"/>
        <v>346</v>
      </c>
      <c r="K8" s="2">
        <v>80</v>
      </c>
      <c r="L8" s="2">
        <v>82</v>
      </c>
      <c r="M8" s="2">
        <v>66</v>
      </c>
      <c r="N8" s="2">
        <v>48</v>
      </c>
      <c r="O8" s="2">
        <v>20</v>
      </c>
      <c r="P8" s="2">
        <v>24</v>
      </c>
      <c r="Q8" s="2">
        <f t="shared" si="4"/>
        <v>92</v>
      </c>
      <c r="R8" s="2">
        <f t="shared" si="5"/>
        <v>320</v>
      </c>
      <c r="S8" s="2">
        <v>96</v>
      </c>
      <c r="T8" s="2">
        <v>79</v>
      </c>
      <c r="U8" s="2">
        <v>63</v>
      </c>
      <c r="V8" s="2">
        <v>50</v>
      </c>
      <c r="W8" s="2">
        <v>26</v>
      </c>
      <c r="X8" s="2">
        <v>16</v>
      </c>
      <c r="Y8" s="2">
        <f t="shared" si="2"/>
        <v>92</v>
      </c>
      <c r="Z8" s="2">
        <f t="shared" si="3"/>
        <v>330</v>
      </c>
      <c r="AA8" s="2">
        <v>90</v>
      </c>
      <c r="AB8" s="2">
        <v>80</v>
      </c>
      <c r="AC8" s="2">
        <v>61</v>
      </c>
      <c r="AD8" s="2">
        <v>43</v>
      </c>
      <c r="AE8" s="2">
        <v>48</v>
      </c>
      <c r="AF8" s="2">
        <v>30</v>
      </c>
      <c r="AG8" s="2">
        <v>121</v>
      </c>
      <c r="AH8" s="2">
        <f t="shared" si="6"/>
        <v>352</v>
      </c>
    </row>
    <row r="9" ht="18.75" spans="1:34">
      <c r="A9" s="46" t="s">
        <v>340</v>
      </c>
      <c r="B9" s="2">
        <v>32</v>
      </c>
      <c r="C9" s="2">
        <v>52</v>
      </c>
      <c r="D9" s="2">
        <v>66</v>
      </c>
      <c r="E9" s="2">
        <v>40</v>
      </c>
      <c r="F9" s="2">
        <v>30</v>
      </c>
      <c r="G9" s="2">
        <v>30</v>
      </c>
      <c r="H9" s="2">
        <v>22</v>
      </c>
      <c r="I9" s="2">
        <f t="shared" si="0"/>
        <v>82</v>
      </c>
      <c r="J9" s="2">
        <f t="shared" si="1"/>
        <v>240</v>
      </c>
      <c r="K9" s="2"/>
      <c r="L9" s="2"/>
      <c r="M9" s="2"/>
      <c r="N9" s="2"/>
      <c r="O9" s="2"/>
      <c r="P9" s="2"/>
      <c r="Q9" s="2"/>
      <c r="R9" s="16" t="s">
        <v>14</v>
      </c>
      <c r="S9" s="2">
        <v>44</v>
      </c>
      <c r="T9" s="2">
        <v>40</v>
      </c>
      <c r="U9" s="2">
        <v>26</v>
      </c>
      <c r="V9" s="2">
        <v>37</v>
      </c>
      <c r="W9" s="2">
        <v>23</v>
      </c>
      <c r="X9" s="2">
        <v>24</v>
      </c>
      <c r="Y9" s="2">
        <f t="shared" si="2"/>
        <v>84</v>
      </c>
      <c r="Z9" s="2">
        <f t="shared" si="3"/>
        <v>194</v>
      </c>
      <c r="AA9" s="2">
        <v>74</v>
      </c>
      <c r="AB9" s="2">
        <v>69</v>
      </c>
      <c r="AC9" s="2">
        <v>57</v>
      </c>
      <c r="AD9" s="2">
        <v>49</v>
      </c>
      <c r="AE9" s="2">
        <v>44</v>
      </c>
      <c r="AF9" s="2">
        <v>22</v>
      </c>
      <c r="AG9" s="2">
        <v>115</v>
      </c>
      <c r="AH9" s="2">
        <f t="shared" si="6"/>
        <v>315</v>
      </c>
    </row>
    <row r="10" ht="18.75" spans="1:34">
      <c r="A10" s="47" t="s">
        <v>341</v>
      </c>
      <c r="B10" s="2">
        <v>31</v>
      </c>
      <c r="C10" s="2">
        <v>72</v>
      </c>
      <c r="D10" s="2">
        <v>66</v>
      </c>
      <c r="E10" s="2">
        <v>69</v>
      </c>
      <c r="F10" s="2">
        <v>28</v>
      </c>
      <c r="G10" s="2">
        <v>40</v>
      </c>
      <c r="H10" s="2">
        <v>12</v>
      </c>
      <c r="I10" s="2">
        <f t="shared" si="0"/>
        <v>80</v>
      </c>
      <c r="J10" s="2">
        <f t="shared" si="1"/>
        <v>287</v>
      </c>
      <c r="K10" s="2"/>
      <c r="L10" s="2"/>
      <c r="M10" s="2"/>
      <c r="N10" s="2"/>
      <c r="O10" s="2"/>
      <c r="P10" s="2"/>
      <c r="Q10" s="2"/>
      <c r="R10" s="16" t="s">
        <v>14</v>
      </c>
      <c r="S10" s="2">
        <v>72</v>
      </c>
      <c r="T10" s="2">
        <v>60</v>
      </c>
      <c r="U10" s="16">
        <v>67</v>
      </c>
      <c r="V10" s="2">
        <v>38</v>
      </c>
      <c r="W10" s="2">
        <v>21</v>
      </c>
      <c r="X10" s="2">
        <v>16</v>
      </c>
      <c r="Y10" s="2">
        <f t="shared" si="2"/>
        <v>75</v>
      </c>
      <c r="Z10" s="2">
        <f t="shared" si="3"/>
        <v>274</v>
      </c>
      <c r="AA10" s="2">
        <v>88</v>
      </c>
      <c r="AB10" s="2">
        <v>70</v>
      </c>
      <c r="AC10" s="2">
        <v>59</v>
      </c>
      <c r="AD10" s="2">
        <v>46</v>
      </c>
      <c r="AE10" s="2">
        <v>46</v>
      </c>
      <c r="AF10" s="2">
        <v>24</v>
      </c>
      <c r="AG10" s="2">
        <v>116</v>
      </c>
      <c r="AH10" s="2">
        <f t="shared" si="6"/>
        <v>333</v>
      </c>
    </row>
    <row r="11" ht="18.75" spans="1:34">
      <c r="A11" s="14" t="s">
        <v>342</v>
      </c>
      <c r="B11" s="48">
        <v>32</v>
      </c>
      <c r="C11" s="2">
        <v>78</v>
      </c>
      <c r="D11" s="2">
        <v>78</v>
      </c>
      <c r="E11" s="2">
        <v>82</v>
      </c>
      <c r="F11" s="2">
        <v>42</v>
      </c>
      <c r="G11" s="2">
        <v>46</v>
      </c>
      <c r="H11" s="2">
        <v>30</v>
      </c>
      <c r="I11" s="2">
        <f t="shared" si="0"/>
        <v>118</v>
      </c>
      <c r="J11" s="2">
        <f t="shared" si="1"/>
        <v>356</v>
      </c>
      <c r="K11" s="2"/>
      <c r="L11" s="2"/>
      <c r="M11" s="2"/>
      <c r="N11" s="2"/>
      <c r="O11" s="2"/>
      <c r="P11" s="2"/>
      <c r="Q11" s="2"/>
      <c r="R11" s="16" t="s">
        <v>14</v>
      </c>
      <c r="S11" s="2">
        <v>78</v>
      </c>
      <c r="T11" s="2">
        <v>87</v>
      </c>
      <c r="U11" s="2">
        <v>73</v>
      </c>
      <c r="V11" s="2">
        <v>50</v>
      </c>
      <c r="W11" s="2">
        <v>28</v>
      </c>
      <c r="X11" s="2">
        <v>16</v>
      </c>
      <c r="Y11" s="2">
        <f t="shared" si="2"/>
        <v>94</v>
      </c>
      <c r="Z11" s="2">
        <f t="shared" si="3"/>
        <v>332</v>
      </c>
      <c r="AA11" s="2">
        <v>82</v>
      </c>
      <c r="AB11" s="2">
        <v>77</v>
      </c>
      <c r="AC11" s="2">
        <v>70</v>
      </c>
      <c r="AD11" s="2">
        <v>50</v>
      </c>
      <c r="AE11" s="2">
        <v>48</v>
      </c>
      <c r="AF11" s="2">
        <v>30</v>
      </c>
      <c r="AG11" s="2">
        <v>128</v>
      </c>
      <c r="AH11" s="2">
        <f t="shared" si="6"/>
        <v>357</v>
      </c>
    </row>
    <row r="12" ht="18.75" spans="1:34">
      <c r="A12" s="14" t="s">
        <v>343</v>
      </c>
      <c r="B12" s="3"/>
      <c r="C12" s="2">
        <v>90</v>
      </c>
      <c r="D12" s="2">
        <v>76</v>
      </c>
      <c r="E12" s="2">
        <v>74</v>
      </c>
      <c r="F12" s="2">
        <v>60</v>
      </c>
      <c r="G12" s="2">
        <v>48</v>
      </c>
      <c r="H12" s="2">
        <v>16</v>
      </c>
      <c r="I12" s="2">
        <f t="shared" si="0"/>
        <v>124</v>
      </c>
      <c r="J12" s="2">
        <f t="shared" si="1"/>
        <v>364</v>
      </c>
      <c r="K12" s="2">
        <v>82</v>
      </c>
      <c r="L12" s="2">
        <v>86</v>
      </c>
      <c r="M12" s="2">
        <v>78</v>
      </c>
      <c r="N12" s="2">
        <v>40</v>
      </c>
      <c r="O12" s="2">
        <v>23</v>
      </c>
      <c r="P12" s="2">
        <v>18</v>
      </c>
      <c r="Q12" s="2">
        <f t="shared" si="4"/>
        <v>81</v>
      </c>
      <c r="R12" s="2">
        <f t="shared" si="5"/>
        <v>327</v>
      </c>
      <c r="S12" s="2">
        <v>84</v>
      </c>
      <c r="T12" s="2">
        <v>60</v>
      </c>
      <c r="U12" s="2">
        <v>73</v>
      </c>
      <c r="V12" s="2">
        <v>46</v>
      </c>
      <c r="W12" s="2">
        <v>24</v>
      </c>
      <c r="X12" s="2">
        <v>30</v>
      </c>
      <c r="Y12" s="2">
        <f t="shared" si="2"/>
        <v>100</v>
      </c>
      <c r="Z12" s="2">
        <f t="shared" si="3"/>
        <v>317</v>
      </c>
      <c r="AA12" s="2"/>
      <c r="AB12" s="2"/>
      <c r="AC12" s="2"/>
      <c r="AD12" s="2"/>
      <c r="AE12" s="2"/>
      <c r="AF12" s="2"/>
      <c r="AG12" s="2"/>
      <c r="AH12" s="16" t="s">
        <v>14</v>
      </c>
    </row>
    <row r="13" ht="18.75" spans="1:34">
      <c r="A13" s="51" t="s">
        <v>344</v>
      </c>
      <c r="B13" s="3"/>
      <c r="C13" s="2">
        <v>74</v>
      </c>
      <c r="D13" s="2">
        <v>88</v>
      </c>
      <c r="E13" s="2">
        <v>80</v>
      </c>
      <c r="F13" s="2">
        <v>24</v>
      </c>
      <c r="G13" s="2">
        <v>44</v>
      </c>
      <c r="H13" s="2">
        <v>20</v>
      </c>
      <c r="I13" s="2">
        <f t="shared" si="0"/>
        <v>88</v>
      </c>
      <c r="J13" s="2">
        <f t="shared" si="1"/>
        <v>330</v>
      </c>
      <c r="K13" s="2">
        <v>68</v>
      </c>
      <c r="L13" s="2">
        <v>83</v>
      </c>
      <c r="M13" s="2">
        <v>75</v>
      </c>
      <c r="N13" s="2">
        <v>38</v>
      </c>
      <c r="O13" s="2">
        <v>19</v>
      </c>
      <c r="P13" s="2">
        <v>12</v>
      </c>
      <c r="Q13" s="2">
        <f t="shared" si="4"/>
        <v>69</v>
      </c>
      <c r="R13" s="2">
        <f t="shared" si="5"/>
        <v>295</v>
      </c>
      <c r="S13" s="2">
        <v>80</v>
      </c>
      <c r="T13" s="2">
        <v>77</v>
      </c>
      <c r="U13" s="2">
        <v>86</v>
      </c>
      <c r="V13" s="2">
        <v>47</v>
      </c>
      <c r="W13" s="2">
        <v>28</v>
      </c>
      <c r="X13" s="2">
        <v>18</v>
      </c>
      <c r="Y13" s="2">
        <f t="shared" si="2"/>
        <v>93</v>
      </c>
      <c r="Z13" s="2">
        <f t="shared" si="3"/>
        <v>336</v>
      </c>
      <c r="AA13" s="2">
        <v>72</v>
      </c>
      <c r="AB13" s="2">
        <v>78</v>
      </c>
      <c r="AC13" s="2">
        <v>74</v>
      </c>
      <c r="AD13" s="2">
        <v>36</v>
      </c>
      <c r="AE13" s="2">
        <v>36</v>
      </c>
      <c r="AF13" s="2">
        <v>18</v>
      </c>
      <c r="AG13" s="2">
        <v>90</v>
      </c>
      <c r="AH13" s="2">
        <f t="shared" si="6"/>
        <v>314</v>
      </c>
    </row>
    <row r="14" ht="18.75" spans="1:34">
      <c r="A14" s="46" t="s">
        <v>345</v>
      </c>
      <c r="B14" s="3"/>
      <c r="C14" s="2"/>
      <c r="D14" s="2"/>
      <c r="E14" s="2"/>
      <c r="F14" s="2"/>
      <c r="G14" s="2"/>
      <c r="H14" s="2"/>
      <c r="I14" s="2"/>
      <c r="J14" s="2"/>
      <c r="K14" s="2">
        <v>72</v>
      </c>
      <c r="L14" s="2">
        <v>50</v>
      </c>
      <c r="M14" s="2">
        <v>88</v>
      </c>
      <c r="N14" s="2">
        <v>50</v>
      </c>
      <c r="O14" s="2">
        <v>19</v>
      </c>
      <c r="P14" s="2">
        <v>20</v>
      </c>
      <c r="Q14" s="2">
        <f t="shared" si="4"/>
        <v>89</v>
      </c>
      <c r="R14" s="2">
        <f t="shared" si="5"/>
        <v>299</v>
      </c>
      <c r="S14" s="2">
        <v>80</v>
      </c>
      <c r="T14" s="2">
        <v>57</v>
      </c>
      <c r="U14" s="2">
        <v>88</v>
      </c>
      <c r="V14" s="2">
        <v>45</v>
      </c>
      <c r="W14" s="2">
        <v>26</v>
      </c>
      <c r="X14" s="2">
        <v>24</v>
      </c>
      <c r="Y14" s="2">
        <f t="shared" si="2"/>
        <v>95</v>
      </c>
      <c r="Z14" s="2">
        <f t="shared" si="3"/>
        <v>320</v>
      </c>
      <c r="AA14" s="2"/>
      <c r="AB14" s="2"/>
      <c r="AC14" s="2"/>
      <c r="AD14" s="2"/>
      <c r="AE14" s="2"/>
      <c r="AF14" s="2"/>
      <c r="AG14" s="2"/>
      <c r="AH14" s="16" t="s">
        <v>14</v>
      </c>
    </row>
    <row r="15" ht="18.75" spans="1:34">
      <c r="A15" s="51" t="s">
        <v>346</v>
      </c>
      <c r="B15" s="20"/>
      <c r="C15" s="52"/>
      <c r="D15" s="52"/>
      <c r="E15" s="52"/>
      <c r="F15" s="52"/>
      <c r="G15" s="52"/>
      <c r="H15" s="52"/>
      <c r="I15" s="52"/>
      <c r="J15" s="52"/>
      <c r="K15" s="2">
        <v>62</v>
      </c>
      <c r="L15" s="2">
        <v>48</v>
      </c>
      <c r="M15" s="2">
        <v>75</v>
      </c>
      <c r="N15" s="2">
        <v>50</v>
      </c>
      <c r="O15" s="2">
        <v>22</v>
      </c>
      <c r="P15" s="2">
        <v>14</v>
      </c>
      <c r="Q15" s="2">
        <f t="shared" si="4"/>
        <v>86</v>
      </c>
      <c r="R15" s="2">
        <f t="shared" si="5"/>
        <v>271</v>
      </c>
      <c r="S15" s="2">
        <v>66</v>
      </c>
      <c r="T15" s="2">
        <v>60</v>
      </c>
      <c r="U15" s="2">
        <v>73</v>
      </c>
      <c r="V15" s="2">
        <v>28</v>
      </c>
      <c r="W15" s="2">
        <v>22</v>
      </c>
      <c r="X15" s="2">
        <v>18</v>
      </c>
      <c r="Y15" s="2">
        <f t="shared" si="2"/>
        <v>68</v>
      </c>
      <c r="Z15" s="2">
        <f t="shared" si="3"/>
        <v>267</v>
      </c>
      <c r="AA15" s="2">
        <v>68</v>
      </c>
      <c r="AB15" s="2">
        <v>60</v>
      </c>
      <c r="AC15" s="2">
        <v>68</v>
      </c>
      <c r="AD15" s="2">
        <v>45</v>
      </c>
      <c r="AE15" s="2">
        <v>34</v>
      </c>
      <c r="AF15" s="2">
        <v>18</v>
      </c>
      <c r="AG15" s="2">
        <v>97</v>
      </c>
      <c r="AH15" s="2">
        <f t="shared" si="6"/>
        <v>293</v>
      </c>
    </row>
    <row r="16" ht="18.75" spans="1:34">
      <c r="A16" s="51" t="s">
        <v>347</v>
      </c>
      <c r="B16" s="2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2">
        <v>80</v>
      </c>
      <c r="AB16" s="2">
        <v>36</v>
      </c>
      <c r="AC16" s="2">
        <v>68</v>
      </c>
      <c r="AD16" s="2">
        <v>37</v>
      </c>
      <c r="AE16" s="2">
        <v>30</v>
      </c>
      <c r="AF16" s="2">
        <v>8</v>
      </c>
      <c r="AG16" s="2">
        <v>75</v>
      </c>
      <c r="AH16" s="2">
        <f t="shared" si="6"/>
        <v>259</v>
      </c>
    </row>
    <row r="17" ht="18.75" spans="1:34">
      <c r="A17" s="46" t="s">
        <v>348</v>
      </c>
      <c r="B17" s="2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2">
        <v>80</v>
      </c>
      <c r="AB17" s="2">
        <v>72</v>
      </c>
      <c r="AC17" s="2">
        <v>48</v>
      </c>
      <c r="AD17" s="2">
        <v>24</v>
      </c>
      <c r="AE17" s="2">
        <v>40</v>
      </c>
      <c r="AF17" s="2">
        <v>18</v>
      </c>
      <c r="AG17" s="2">
        <v>82</v>
      </c>
      <c r="AH17" s="2">
        <f t="shared" si="6"/>
        <v>282</v>
      </c>
    </row>
    <row r="18" ht="18.75" spans="1:34">
      <c r="A18" s="49" t="s">
        <v>349</v>
      </c>
      <c r="B18" s="2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2">
        <v>80</v>
      </c>
      <c r="AB18" s="2">
        <v>64</v>
      </c>
      <c r="AC18" s="2">
        <v>46</v>
      </c>
      <c r="AD18" s="2">
        <v>42</v>
      </c>
      <c r="AE18" s="2">
        <v>32</v>
      </c>
      <c r="AF18" s="2">
        <v>18</v>
      </c>
      <c r="AG18" s="2">
        <v>92</v>
      </c>
      <c r="AH18" s="2">
        <f t="shared" si="6"/>
        <v>282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C1:J1"/>
    <mergeCell ref="K1:R1"/>
    <mergeCell ref="S1:Z1"/>
    <mergeCell ref="AA1:A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90" zoomScaleNormal="90" workbookViewId="0">
      <pane xSplit="1" topLeftCell="B1" activePane="topRight" state="frozen"/>
      <selection/>
      <selection pane="topRight" activeCell="D2" sqref="D2"/>
    </sheetView>
  </sheetViews>
  <sheetFormatPr defaultColWidth="9.64166666666667" defaultRowHeight="13.5"/>
  <cols>
    <col min="1" max="1" width="8.75" customWidth="1"/>
    <col min="2" max="3" width="5.125" customWidth="1"/>
    <col min="4" max="4" width="8.875" customWidth="1"/>
    <col min="5" max="8" width="5.125" customWidth="1"/>
    <col min="9" max="9" width="8.875" customWidth="1"/>
    <col min="10" max="13" width="5.125" customWidth="1"/>
    <col min="14" max="14" width="8.875" customWidth="1"/>
    <col min="15" max="18" width="5.125" customWidth="1"/>
    <col min="19" max="19" width="8.875" customWidth="1"/>
    <col min="20" max="21" width="5.125" customWidth="1"/>
  </cols>
  <sheetData>
    <row r="1" ht="18.75" spans="1:21">
      <c r="A1" s="42"/>
      <c r="B1" s="43" t="s">
        <v>0</v>
      </c>
      <c r="C1" s="44"/>
      <c r="D1" s="44"/>
      <c r="E1" s="44"/>
      <c r="F1" s="45"/>
      <c r="G1" s="43" t="s">
        <v>1</v>
      </c>
      <c r="H1" s="44"/>
      <c r="I1" s="44"/>
      <c r="J1" s="44"/>
      <c r="K1" s="45"/>
      <c r="L1" s="43" t="s">
        <v>2</v>
      </c>
      <c r="M1" s="44"/>
      <c r="N1" s="44"/>
      <c r="O1" s="44"/>
      <c r="P1" s="45"/>
      <c r="Q1" s="43" t="s">
        <v>3</v>
      </c>
      <c r="R1" s="44"/>
      <c r="S1" s="44"/>
      <c r="T1" s="44"/>
      <c r="U1" s="45"/>
    </row>
    <row r="2" ht="18.75" spans="1:21">
      <c r="A2" s="46" t="s">
        <v>4</v>
      </c>
      <c r="B2" s="16" t="s">
        <v>5</v>
      </c>
      <c r="C2" s="16" t="s">
        <v>6</v>
      </c>
      <c r="D2" s="16" t="s">
        <v>7</v>
      </c>
      <c r="E2" s="16" t="s">
        <v>350</v>
      </c>
      <c r="F2" s="16" t="s">
        <v>11</v>
      </c>
      <c r="G2" s="16" t="s">
        <v>5</v>
      </c>
      <c r="H2" s="16" t="s">
        <v>6</v>
      </c>
      <c r="I2" s="16" t="s">
        <v>7</v>
      </c>
      <c r="J2" s="16" t="s">
        <v>350</v>
      </c>
      <c r="K2" s="16" t="s">
        <v>11</v>
      </c>
      <c r="L2" s="16" t="s">
        <v>5</v>
      </c>
      <c r="M2" s="16" t="s">
        <v>6</v>
      </c>
      <c r="N2" s="16" t="s">
        <v>7</v>
      </c>
      <c r="O2" s="16" t="s">
        <v>350</v>
      </c>
      <c r="P2" s="16" t="s">
        <v>11</v>
      </c>
      <c r="Q2" s="16" t="s">
        <v>5</v>
      </c>
      <c r="R2" s="16" t="s">
        <v>6</v>
      </c>
      <c r="S2" s="16" t="s">
        <v>7</v>
      </c>
      <c r="T2" s="16" t="s">
        <v>350</v>
      </c>
      <c r="U2" s="16" t="s">
        <v>11</v>
      </c>
    </row>
    <row r="3" ht="18.75" spans="1:21">
      <c r="A3" s="46" t="s">
        <v>351</v>
      </c>
      <c r="B3" s="2">
        <v>68</v>
      </c>
      <c r="C3" s="2">
        <v>42</v>
      </c>
      <c r="D3" s="2">
        <v>65</v>
      </c>
      <c r="E3" s="2">
        <v>111</v>
      </c>
      <c r="F3" s="2">
        <f t="shared" ref="F3:F6" si="0">B3+C3+D3+E3</f>
        <v>286</v>
      </c>
      <c r="G3" s="2">
        <v>70</v>
      </c>
      <c r="H3" s="2">
        <v>16</v>
      </c>
      <c r="I3" s="2">
        <v>70</v>
      </c>
      <c r="J3" s="2">
        <v>97</v>
      </c>
      <c r="K3" s="2">
        <f>G3+H3+I3+J3</f>
        <v>253</v>
      </c>
      <c r="L3" s="2">
        <v>62</v>
      </c>
      <c r="M3" s="2">
        <v>48</v>
      </c>
      <c r="N3" s="2">
        <v>62</v>
      </c>
      <c r="O3" s="2">
        <v>114</v>
      </c>
      <c r="P3" s="2">
        <f t="shared" ref="P3:P8" si="1">L3+M3+N3+O3</f>
        <v>286</v>
      </c>
      <c r="Q3" s="2">
        <v>78</v>
      </c>
      <c r="R3" s="2">
        <v>38</v>
      </c>
      <c r="S3" s="2">
        <v>56</v>
      </c>
      <c r="T3" s="2">
        <v>89</v>
      </c>
      <c r="U3" s="2">
        <f t="shared" ref="U3:U9" si="2">Q3+R3+S3+T3</f>
        <v>261</v>
      </c>
    </row>
    <row r="4" ht="18.75" spans="1:21">
      <c r="A4" s="46" t="s">
        <v>352</v>
      </c>
      <c r="B4" s="2">
        <v>69</v>
      </c>
      <c r="C4" s="2">
        <v>23</v>
      </c>
      <c r="D4" s="2">
        <v>66</v>
      </c>
      <c r="E4" s="2">
        <v>124</v>
      </c>
      <c r="F4" s="2">
        <f t="shared" si="0"/>
        <v>282</v>
      </c>
      <c r="G4" s="2">
        <v>60</v>
      </c>
      <c r="H4" s="2">
        <v>29</v>
      </c>
      <c r="I4" s="2">
        <v>53</v>
      </c>
      <c r="J4" s="2">
        <v>127</v>
      </c>
      <c r="K4" s="2">
        <f>G4+H4+I4+J4</f>
        <v>269</v>
      </c>
      <c r="L4" s="2">
        <v>70</v>
      </c>
      <c r="M4" s="2">
        <v>26</v>
      </c>
      <c r="N4" s="2">
        <v>62</v>
      </c>
      <c r="O4" s="2">
        <v>126</v>
      </c>
      <c r="P4" s="2">
        <f t="shared" si="1"/>
        <v>284</v>
      </c>
      <c r="Q4" s="2">
        <v>72</v>
      </c>
      <c r="R4" s="2">
        <v>31</v>
      </c>
      <c r="S4" s="2">
        <v>97</v>
      </c>
      <c r="T4" s="2">
        <v>110</v>
      </c>
      <c r="U4" s="2">
        <f t="shared" si="2"/>
        <v>310</v>
      </c>
    </row>
    <row r="5" ht="18.75" spans="1:21">
      <c r="A5" s="46" t="s">
        <v>353</v>
      </c>
      <c r="B5" s="1">
        <v>72</v>
      </c>
      <c r="C5" s="2">
        <v>48</v>
      </c>
      <c r="D5" s="2">
        <v>86</v>
      </c>
      <c r="E5" s="2">
        <v>84</v>
      </c>
      <c r="F5" s="2">
        <f t="shared" si="0"/>
        <v>290</v>
      </c>
      <c r="G5" s="2">
        <v>72</v>
      </c>
      <c r="H5" s="2">
        <v>44</v>
      </c>
      <c r="I5" s="2">
        <v>78</v>
      </c>
      <c r="J5" s="2">
        <v>91</v>
      </c>
      <c r="K5" s="2">
        <f>G5+H5+I5+J5</f>
        <v>285</v>
      </c>
      <c r="L5" s="2">
        <v>74</v>
      </c>
      <c r="M5" s="2">
        <v>46</v>
      </c>
      <c r="N5" s="2">
        <v>82</v>
      </c>
      <c r="O5" s="2">
        <v>89</v>
      </c>
      <c r="P5" s="2">
        <f t="shared" si="1"/>
        <v>291</v>
      </c>
      <c r="Q5" s="2">
        <v>82</v>
      </c>
      <c r="R5" s="2">
        <v>44</v>
      </c>
      <c r="S5" s="2">
        <v>100</v>
      </c>
      <c r="T5" s="2">
        <v>91</v>
      </c>
      <c r="U5" s="2">
        <f t="shared" si="2"/>
        <v>317</v>
      </c>
    </row>
    <row r="6" ht="18.75" spans="1:21">
      <c r="A6" s="46" t="s">
        <v>354</v>
      </c>
      <c r="B6" s="2">
        <v>60</v>
      </c>
      <c r="C6" s="2">
        <v>40</v>
      </c>
      <c r="D6" s="2">
        <v>56</v>
      </c>
      <c r="E6" s="2">
        <v>89</v>
      </c>
      <c r="F6" s="2">
        <f t="shared" si="0"/>
        <v>245</v>
      </c>
      <c r="G6" s="2">
        <v>50</v>
      </c>
      <c r="H6" s="2">
        <v>36</v>
      </c>
      <c r="I6" s="2">
        <v>62</v>
      </c>
      <c r="J6" s="2">
        <v>80</v>
      </c>
      <c r="K6" s="2">
        <f>G6+H6+I6+J6</f>
        <v>228</v>
      </c>
      <c r="L6" s="2">
        <v>56</v>
      </c>
      <c r="M6" s="2">
        <v>16</v>
      </c>
      <c r="N6" s="2">
        <v>81</v>
      </c>
      <c r="O6" s="2">
        <v>61</v>
      </c>
      <c r="P6" s="2">
        <f t="shared" si="1"/>
        <v>214</v>
      </c>
      <c r="Q6" s="2">
        <v>56</v>
      </c>
      <c r="R6" s="2">
        <v>48</v>
      </c>
      <c r="S6" s="2">
        <v>94</v>
      </c>
      <c r="T6" s="2">
        <v>80</v>
      </c>
      <c r="U6" s="2">
        <f t="shared" si="2"/>
        <v>278</v>
      </c>
    </row>
    <row r="7" ht="18.75" spans="1:21">
      <c r="A7" s="46" t="s">
        <v>355</v>
      </c>
      <c r="B7" s="2">
        <v>36</v>
      </c>
      <c r="C7" s="2">
        <v>40</v>
      </c>
      <c r="D7" s="2">
        <v>41</v>
      </c>
      <c r="E7" s="2">
        <v>90</v>
      </c>
      <c r="F7" s="2">
        <f t="shared" ref="F7:F10" si="3">B7+C7+D7+E7</f>
        <v>207</v>
      </c>
      <c r="G7" s="2">
        <v>58</v>
      </c>
      <c r="H7" s="2">
        <v>26</v>
      </c>
      <c r="I7" s="2">
        <v>41</v>
      </c>
      <c r="J7" s="2">
        <v>96</v>
      </c>
      <c r="K7" s="2">
        <f>G7+H7+I7+J7</f>
        <v>221</v>
      </c>
      <c r="L7" s="2">
        <v>56</v>
      </c>
      <c r="M7" s="2">
        <v>31</v>
      </c>
      <c r="N7" s="2">
        <v>66</v>
      </c>
      <c r="O7" s="2">
        <v>83</v>
      </c>
      <c r="P7" s="2">
        <f t="shared" si="1"/>
        <v>236</v>
      </c>
      <c r="Q7" s="2">
        <v>58</v>
      </c>
      <c r="R7" s="2">
        <v>56</v>
      </c>
      <c r="S7" s="2">
        <v>55</v>
      </c>
      <c r="T7" s="2">
        <v>92</v>
      </c>
      <c r="U7" s="2">
        <f t="shared" si="2"/>
        <v>261</v>
      </c>
    </row>
    <row r="8" ht="18.75" spans="1:21">
      <c r="A8" s="46" t="s">
        <v>356</v>
      </c>
      <c r="B8" s="2">
        <v>50</v>
      </c>
      <c r="C8" s="2">
        <v>43</v>
      </c>
      <c r="D8" s="2">
        <v>36</v>
      </c>
      <c r="E8" s="2">
        <v>80</v>
      </c>
      <c r="F8" s="2">
        <f t="shared" si="3"/>
        <v>209</v>
      </c>
      <c r="G8" s="2"/>
      <c r="H8" s="2"/>
      <c r="I8" s="2"/>
      <c r="J8" s="2"/>
      <c r="K8" s="16" t="s">
        <v>14</v>
      </c>
      <c r="L8" s="2">
        <v>58</v>
      </c>
      <c r="M8" s="2">
        <v>48</v>
      </c>
      <c r="N8" s="2">
        <v>51</v>
      </c>
      <c r="O8" s="2">
        <v>79</v>
      </c>
      <c r="P8" s="2">
        <f t="shared" si="1"/>
        <v>236</v>
      </c>
      <c r="Q8" s="2">
        <v>66</v>
      </c>
      <c r="R8" s="2">
        <v>48</v>
      </c>
      <c r="S8" s="2">
        <v>60</v>
      </c>
      <c r="T8" s="2">
        <v>81</v>
      </c>
      <c r="U8" s="2">
        <f t="shared" si="2"/>
        <v>255</v>
      </c>
    </row>
    <row r="9" ht="18.75" spans="1:21">
      <c r="A9" s="46" t="s">
        <v>357</v>
      </c>
      <c r="B9" s="2">
        <v>60</v>
      </c>
      <c r="C9" s="2">
        <v>72</v>
      </c>
      <c r="D9" s="2">
        <v>78</v>
      </c>
      <c r="E9" s="2">
        <v>110</v>
      </c>
      <c r="F9" s="2">
        <f t="shared" si="3"/>
        <v>320</v>
      </c>
      <c r="G9" s="2">
        <v>68</v>
      </c>
      <c r="H9" s="2">
        <v>73</v>
      </c>
      <c r="I9" s="2">
        <v>67</v>
      </c>
      <c r="J9" s="2">
        <v>116</v>
      </c>
      <c r="K9" s="2">
        <f>G9+H9+I9+J9</f>
        <v>324</v>
      </c>
      <c r="L9" s="2"/>
      <c r="M9" s="2"/>
      <c r="N9" s="2"/>
      <c r="O9" s="2"/>
      <c r="P9" s="16" t="s">
        <v>14</v>
      </c>
      <c r="Q9" s="2">
        <v>78</v>
      </c>
      <c r="R9" s="2">
        <v>79</v>
      </c>
      <c r="S9" s="2">
        <v>80</v>
      </c>
      <c r="T9" s="2">
        <v>101</v>
      </c>
      <c r="U9" s="2">
        <f t="shared" si="2"/>
        <v>338</v>
      </c>
    </row>
    <row r="10" ht="18.75" spans="1:21">
      <c r="A10" s="47" t="s">
        <v>109</v>
      </c>
      <c r="B10" s="48">
        <v>80</v>
      </c>
      <c r="C10" s="48">
        <v>87</v>
      </c>
      <c r="D10" s="48">
        <v>83</v>
      </c>
      <c r="E10" s="48">
        <v>114</v>
      </c>
      <c r="F10" s="48">
        <f t="shared" si="3"/>
        <v>364</v>
      </c>
      <c r="G10" s="2">
        <v>82</v>
      </c>
      <c r="H10" s="2">
        <v>74</v>
      </c>
      <c r="I10" s="2">
        <v>73</v>
      </c>
      <c r="J10" s="2">
        <v>124</v>
      </c>
      <c r="K10" s="2">
        <f>G10+H10+I10+J10</f>
        <v>353</v>
      </c>
      <c r="L10" s="2">
        <v>88</v>
      </c>
      <c r="M10" s="2">
        <v>82</v>
      </c>
      <c r="N10" s="2">
        <v>65</v>
      </c>
      <c r="O10" s="2">
        <v>110</v>
      </c>
      <c r="P10" s="2">
        <f>L10+M10+N10+O10</f>
        <v>345</v>
      </c>
      <c r="Q10" s="2"/>
      <c r="R10" s="2"/>
      <c r="S10" s="2"/>
      <c r="T10" s="2"/>
      <c r="U10" s="16" t="s">
        <v>14</v>
      </c>
    </row>
    <row r="11" ht="18.75" spans="1:21">
      <c r="A11" s="14" t="s">
        <v>358</v>
      </c>
      <c r="B11" s="2"/>
      <c r="C11" s="2"/>
      <c r="D11" s="2"/>
      <c r="E11" s="2"/>
      <c r="F11" s="16" t="s">
        <v>14</v>
      </c>
      <c r="G11" s="2">
        <v>54</v>
      </c>
      <c r="H11" s="2">
        <v>72</v>
      </c>
      <c r="I11" s="2">
        <v>68</v>
      </c>
      <c r="J11" s="2">
        <v>107</v>
      </c>
      <c r="K11" s="2">
        <f>G11+H11+I11+J11</f>
        <v>301</v>
      </c>
      <c r="L11" s="2">
        <v>66</v>
      </c>
      <c r="M11" s="2">
        <v>51</v>
      </c>
      <c r="N11" s="2">
        <v>65</v>
      </c>
      <c r="O11" s="2">
        <v>90</v>
      </c>
      <c r="P11" s="2">
        <f>L11+M11+N11+O11</f>
        <v>272</v>
      </c>
      <c r="Q11" s="2">
        <v>66</v>
      </c>
      <c r="R11" s="2">
        <v>77</v>
      </c>
      <c r="S11" s="2">
        <v>74</v>
      </c>
      <c r="T11" s="2">
        <v>90</v>
      </c>
      <c r="U11" s="2">
        <f>Q11+R11+S11+T11</f>
        <v>307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F1"/>
    <mergeCell ref="G1:K1"/>
    <mergeCell ref="L1:P1"/>
    <mergeCell ref="Q1:U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"/>
  <sheetViews>
    <sheetView zoomScale="70" zoomScaleNormal="70" workbookViewId="0">
      <selection activeCell="F2" sqref="F2"/>
    </sheetView>
  </sheetViews>
  <sheetFormatPr defaultColWidth="9.64166666666667" defaultRowHeight="13.5"/>
  <cols>
    <col min="1" max="1" width="8.75" customWidth="1"/>
    <col min="2" max="3" width="5.125" customWidth="1"/>
    <col min="4" max="4" width="12.875" customWidth="1"/>
    <col min="5" max="6" width="8.875" customWidth="1"/>
    <col min="7" max="10" width="5.125" customWidth="1"/>
    <col min="11" max="11" width="12.875" customWidth="1"/>
    <col min="12" max="13" width="8.875" customWidth="1"/>
    <col min="14" max="17" width="5.125" customWidth="1"/>
    <col min="18" max="18" width="12.875" customWidth="1"/>
    <col min="19" max="19" width="8.875" customWidth="1"/>
    <col min="20" max="24" width="5.125" customWidth="1"/>
    <col min="25" max="25" width="12.875" customWidth="1"/>
    <col min="26" max="26" width="8.875" customWidth="1"/>
    <col min="27" max="29" width="5.125" customWidth="1"/>
  </cols>
  <sheetData>
    <row r="1" ht="19.5" spans="1:29">
      <c r="A1" s="21"/>
      <c r="B1" s="22" t="s">
        <v>0</v>
      </c>
      <c r="C1" s="22"/>
      <c r="D1" s="22"/>
      <c r="E1" s="22"/>
      <c r="F1" s="22"/>
      <c r="G1" s="22"/>
      <c r="H1" s="22"/>
      <c r="I1" s="22" t="s">
        <v>1</v>
      </c>
      <c r="J1" s="22"/>
      <c r="K1" s="22"/>
      <c r="L1" s="22"/>
      <c r="M1" s="22"/>
      <c r="N1" s="22"/>
      <c r="O1" s="22"/>
      <c r="P1" s="22" t="s">
        <v>2</v>
      </c>
      <c r="Q1" s="22"/>
      <c r="R1" s="22"/>
      <c r="S1" s="22"/>
      <c r="T1" s="22"/>
      <c r="U1" s="22"/>
      <c r="V1" s="22"/>
      <c r="W1" s="22" t="s">
        <v>3</v>
      </c>
      <c r="X1" s="22"/>
      <c r="Y1" s="22"/>
      <c r="Z1" s="22"/>
      <c r="AA1" s="22"/>
      <c r="AB1" s="22"/>
      <c r="AC1" s="23"/>
    </row>
    <row r="2" ht="19.5" spans="1:29">
      <c r="A2" s="24" t="s">
        <v>4</v>
      </c>
      <c r="B2" s="25" t="s">
        <v>5</v>
      </c>
      <c r="C2" s="25" t="s">
        <v>6</v>
      </c>
      <c r="D2" s="25" t="s">
        <v>7</v>
      </c>
      <c r="E2" s="25" t="s">
        <v>10</v>
      </c>
      <c r="F2" s="25" t="s">
        <v>333</v>
      </c>
      <c r="G2" s="26" t="s">
        <v>359</v>
      </c>
      <c r="H2" s="26" t="s">
        <v>11</v>
      </c>
      <c r="I2" s="25" t="s">
        <v>5</v>
      </c>
      <c r="J2" s="25" t="s">
        <v>6</v>
      </c>
      <c r="K2" s="25" t="s">
        <v>7</v>
      </c>
      <c r="L2" s="25" t="s">
        <v>10</v>
      </c>
      <c r="M2" s="25" t="s">
        <v>333</v>
      </c>
      <c r="N2" s="26" t="s">
        <v>359</v>
      </c>
      <c r="O2" s="26" t="s">
        <v>11</v>
      </c>
      <c r="P2" s="25" t="s">
        <v>5</v>
      </c>
      <c r="Q2" s="25" t="s">
        <v>6</v>
      </c>
      <c r="R2" s="25" t="s">
        <v>7</v>
      </c>
      <c r="S2" s="25" t="s">
        <v>10</v>
      </c>
      <c r="T2" s="25" t="s">
        <v>359</v>
      </c>
      <c r="U2" s="25" t="s">
        <v>360</v>
      </c>
      <c r="V2" s="26" t="s">
        <v>11</v>
      </c>
      <c r="W2" s="25" t="s">
        <v>5</v>
      </c>
      <c r="X2" s="25" t="s">
        <v>6</v>
      </c>
      <c r="Y2" s="25" t="s">
        <v>7</v>
      </c>
      <c r="Z2" s="25" t="s">
        <v>10</v>
      </c>
      <c r="AA2" s="25" t="s">
        <v>359</v>
      </c>
      <c r="AB2" s="25" t="s">
        <v>360</v>
      </c>
      <c r="AC2" s="27" t="s">
        <v>11</v>
      </c>
    </row>
    <row r="3" ht="18.75" spans="1:29">
      <c r="A3" s="28" t="s">
        <v>361</v>
      </c>
      <c r="B3" s="29">
        <v>86</v>
      </c>
      <c r="C3" s="29">
        <v>76</v>
      </c>
      <c r="D3" s="29">
        <v>65</v>
      </c>
      <c r="E3" s="29">
        <v>74</v>
      </c>
      <c r="F3" s="29">
        <v>48</v>
      </c>
      <c r="G3" s="30">
        <v>26</v>
      </c>
      <c r="H3" s="31">
        <f t="shared" ref="H3:H18" si="0">SUM(B3:E3)</f>
        <v>301</v>
      </c>
      <c r="I3" s="31">
        <v>86</v>
      </c>
      <c r="J3" s="31">
        <v>78</v>
      </c>
      <c r="K3" s="31">
        <v>82</v>
      </c>
      <c r="L3" s="31">
        <v>88</v>
      </c>
      <c r="M3" s="31">
        <v>46</v>
      </c>
      <c r="N3" s="31">
        <v>42</v>
      </c>
      <c r="O3" s="31">
        <v>334</v>
      </c>
      <c r="P3" s="31">
        <v>90</v>
      </c>
      <c r="Q3" s="31">
        <v>69</v>
      </c>
      <c r="R3" s="31">
        <v>67</v>
      </c>
      <c r="S3" s="32">
        <v>105</v>
      </c>
      <c r="T3" s="31">
        <v>47</v>
      </c>
      <c r="U3" s="31">
        <v>58</v>
      </c>
      <c r="V3" s="31">
        <v>331</v>
      </c>
      <c r="W3" s="31">
        <v>88</v>
      </c>
      <c r="X3" s="31">
        <v>78</v>
      </c>
      <c r="Y3" s="31">
        <v>86</v>
      </c>
      <c r="Z3" s="32">
        <f>SUM(AA3:AB3)</f>
        <v>121</v>
      </c>
      <c r="AA3" s="31">
        <v>53</v>
      </c>
      <c r="AB3" s="31">
        <v>68</v>
      </c>
      <c r="AC3" s="33">
        <f t="shared" ref="AC3:AC9" si="1">SUM(W3:Z3)</f>
        <v>373</v>
      </c>
    </row>
    <row r="4" ht="18.75" spans="1:29">
      <c r="A4" s="14" t="s">
        <v>362</v>
      </c>
      <c r="B4" s="3">
        <v>72</v>
      </c>
      <c r="C4" s="3">
        <v>57</v>
      </c>
      <c r="D4" s="3">
        <v>47</v>
      </c>
      <c r="E4" s="3">
        <v>66</v>
      </c>
      <c r="F4" s="3">
        <v>42</v>
      </c>
      <c r="G4" s="3">
        <v>24</v>
      </c>
      <c r="H4" s="34">
        <f t="shared" si="0"/>
        <v>242</v>
      </c>
      <c r="I4" s="34">
        <v>64</v>
      </c>
      <c r="J4" s="34">
        <v>62</v>
      </c>
      <c r="K4" s="34">
        <v>67</v>
      </c>
      <c r="L4" s="34">
        <v>90</v>
      </c>
      <c r="M4" s="34">
        <v>44</v>
      </c>
      <c r="N4" s="34">
        <v>46</v>
      </c>
      <c r="O4" s="34">
        <v>283</v>
      </c>
      <c r="P4" s="34">
        <v>62</v>
      </c>
      <c r="Q4" s="34">
        <v>54</v>
      </c>
      <c r="R4" s="34">
        <v>91</v>
      </c>
      <c r="S4" s="35">
        <v>94</v>
      </c>
      <c r="T4" s="34">
        <v>36</v>
      </c>
      <c r="U4" s="34">
        <v>58</v>
      </c>
      <c r="V4" s="34">
        <v>301</v>
      </c>
      <c r="W4" s="34">
        <v>80</v>
      </c>
      <c r="X4" s="34">
        <v>65</v>
      </c>
      <c r="Y4" s="34">
        <v>91</v>
      </c>
      <c r="Z4" s="35">
        <f t="shared" ref="Z4:Z9" si="2">SUM(AA4:AB4)</f>
        <v>98</v>
      </c>
      <c r="AA4" s="34">
        <v>46</v>
      </c>
      <c r="AB4" s="34">
        <v>52</v>
      </c>
      <c r="AC4" s="36">
        <f t="shared" si="1"/>
        <v>334</v>
      </c>
    </row>
    <row r="5" ht="18.75" spans="1:29">
      <c r="A5" s="14" t="s">
        <v>363</v>
      </c>
      <c r="B5" s="37" t="s">
        <v>50</v>
      </c>
      <c r="C5" s="37" t="s">
        <v>50</v>
      </c>
      <c r="D5" s="37" t="s">
        <v>50</v>
      </c>
      <c r="E5" s="37" t="s">
        <v>50</v>
      </c>
      <c r="F5" s="37" t="s">
        <v>50</v>
      </c>
      <c r="G5" s="37" t="s">
        <v>50</v>
      </c>
      <c r="H5" s="34">
        <f t="shared" si="0"/>
        <v>0</v>
      </c>
      <c r="I5" s="37" t="s">
        <v>50</v>
      </c>
      <c r="J5" s="37" t="s">
        <v>50</v>
      </c>
      <c r="K5" s="37" t="s">
        <v>50</v>
      </c>
      <c r="L5" s="37" t="s">
        <v>50</v>
      </c>
      <c r="M5" s="37" t="s">
        <v>50</v>
      </c>
      <c r="N5" s="37" t="s">
        <v>50</v>
      </c>
      <c r="O5" s="3"/>
      <c r="P5" s="35" t="s">
        <v>50</v>
      </c>
      <c r="Q5" s="35" t="s">
        <v>50</v>
      </c>
      <c r="R5" s="35" t="s">
        <v>50</v>
      </c>
      <c r="S5" s="35" t="s">
        <v>50</v>
      </c>
      <c r="T5" s="35" t="s">
        <v>50</v>
      </c>
      <c r="U5" s="35" t="s">
        <v>50</v>
      </c>
      <c r="V5" s="35" t="s">
        <v>50</v>
      </c>
      <c r="W5" s="35">
        <v>62</v>
      </c>
      <c r="X5" s="35">
        <v>32</v>
      </c>
      <c r="Y5" s="35">
        <v>63</v>
      </c>
      <c r="Z5" s="35">
        <f t="shared" si="2"/>
        <v>96</v>
      </c>
      <c r="AA5" s="35">
        <v>38</v>
      </c>
      <c r="AB5" s="35">
        <v>58</v>
      </c>
      <c r="AC5" s="36">
        <f t="shared" si="1"/>
        <v>253</v>
      </c>
    </row>
    <row r="6" ht="18.75" spans="1:29">
      <c r="A6" s="14" t="s">
        <v>364</v>
      </c>
      <c r="B6" s="3">
        <v>88</v>
      </c>
      <c r="C6" s="3">
        <v>92</v>
      </c>
      <c r="D6" s="3">
        <v>50</v>
      </c>
      <c r="E6" s="3">
        <v>82</v>
      </c>
      <c r="F6" s="3">
        <v>52</v>
      </c>
      <c r="G6" s="3">
        <v>30</v>
      </c>
      <c r="H6" s="34">
        <f t="shared" si="0"/>
        <v>312</v>
      </c>
      <c r="I6" s="34">
        <v>78</v>
      </c>
      <c r="J6" s="34">
        <v>72</v>
      </c>
      <c r="K6" s="34">
        <v>63</v>
      </c>
      <c r="L6" s="34">
        <v>108</v>
      </c>
      <c r="M6" s="34">
        <v>70</v>
      </c>
      <c r="N6" s="34">
        <v>38</v>
      </c>
      <c r="O6" s="34">
        <v>321</v>
      </c>
      <c r="P6" s="34">
        <v>80</v>
      </c>
      <c r="Q6" s="34">
        <v>79</v>
      </c>
      <c r="R6" s="34">
        <v>85</v>
      </c>
      <c r="S6" s="35">
        <v>94</v>
      </c>
      <c r="T6" s="34">
        <v>46</v>
      </c>
      <c r="U6" s="34">
        <v>48</v>
      </c>
      <c r="V6" s="34">
        <v>338</v>
      </c>
      <c r="W6" s="34">
        <v>86</v>
      </c>
      <c r="X6" s="34">
        <v>79</v>
      </c>
      <c r="Y6" s="34">
        <v>71</v>
      </c>
      <c r="Z6" s="35">
        <f t="shared" si="2"/>
        <v>101</v>
      </c>
      <c r="AA6" s="34">
        <v>47</v>
      </c>
      <c r="AB6" s="34">
        <v>54</v>
      </c>
      <c r="AC6" s="36">
        <f t="shared" si="1"/>
        <v>337</v>
      </c>
    </row>
    <row r="7" ht="18.75" spans="1:29">
      <c r="A7" s="14" t="s">
        <v>365</v>
      </c>
      <c r="B7" s="3">
        <v>74</v>
      </c>
      <c r="C7" s="3">
        <v>72</v>
      </c>
      <c r="D7" s="3">
        <v>85</v>
      </c>
      <c r="E7" s="3">
        <v>86</v>
      </c>
      <c r="F7" s="3">
        <v>52</v>
      </c>
      <c r="G7" s="3">
        <v>34</v>
      </c>
      <c r="H7" s="34">
        <f t="shared" si="0"/>
        <v>317</v>
      </c>
      <c r="I7" s="37" t="s">
        <v>50</v>
      </c>
      <c r="J7" s="37" t="s">
        <v>50</v>
      </c>
      <c r="K7" s="37" t="s">
        <v>50</v>
      </c>
      <c r="L7" s="37" t="s">
        <v>50</v>
      </c>
      <c r="M7" s="37" t="s">
        <v>50</v>
      </c>
      <c r="N7" s="37" t="s">
        <v>50</v>
      </c>
      <c r="O7" s="3"/>
      <c r="P7" s="34">
        <v>76</v>
      </c>
      <c r="Q7" s="34">
        <v>75</v>
      </c>
      <c r="R7" s="34">
        <v>80</v>
      </c>
      <c r="S7" s="35">
        <v>100</v>
      </c>
      <c r="T7" s="34">
        <v>38</v>
      </c>
      <c r="U7" s="34">
        <v>62</v>
      </c>
      <c r="V7" s="34">
        <v>331</v>
      </c>
      <c r="W7" s="35" t="s">
        <v>50</v>
      </c>
      <c r="X7" s="35" t="s">
        <v>50</v>
      </c>
      <c r="Y7" s="35" t="s">
        <v>50</v>
      </c>
      <c r="Z7" s="35" t="s">
        <v>50</v>
      </c>
      <c r="AA7" s="35" t="s">
        <v>50</v>
      </c>
      <c r="AB7" s="35" t="s">
        <v>50</v>
      </c>
      <c r="AC7" s="36">
        <f t="shared" si="1"/>
        <v>0</v>
      </c>
    </row>
    <row r="8" ht="18.75" spans="1:29">
      <c r="A8" s="14" t="s">
        <v>366</v>
      </c>
      <c r="B8" s="3">
        <v>66</v>
      </c>
      <c r="C8" s="3">
        <v>80</v>
      </c>
      <c r="D8" s="3">
        <v>60</v>
      </c>
      <c r="E8" s="3">
        <v>74</v>
      </c>
      <c r="F8" s="3">
        <v>42</v>
      </c>
      <c r="G8" s="3">
        <v>32</v>
      </c>
      <c r="H8" s="34">
        <f t="shared" si="0"/>
        <v>280</v>
      </c>
      <c r="I8" s="34">
        <v>66</v>
      </c>
      <c r="J8" s="34">
        <v>82</v>
      </c>
      <c r="K8" s="34">
        <v>66</v>
      </c>
      <c r="L8" s="34">
        <v>90</v>
      </c>
      <c r="M8" s="34">
        <v>48</v>
      </c>
      <c r="N8" s="34">
        <v>42</v>
      </c>
      <c r="O8" s="34">
        <v>304</v>
      </c>
      <c r="P8" s="34">
        <v>66</v>
      </c>
      <c r="Q8" s="34">
        <v>73</v>
      </c>
      <c r="R8" s="34">
        <v>89</v>
      </c>
      <c r="S8" s="35">
        <v>90</v>
      </c>
      <c r="T8" s="34">
        <v>42</v>
      </c>
      <c r="U8" s="34">
        <v>48</v>
      </c>
      <c r="V8" s="34">
        <v>318</v>
      </c>
      <c r="W8" s="34">
        <v>88</v>
      </c>
      <c r="X8" s="34">
        <v>69</v>
      </c>
      <c r="Y8" s="34">
        <v>91</v>
      </c>
      <c r="Z8" s="35">
        <f t="shared" si="2"/>
        <v>83</v>
      </c>
      <c r="AA8" s="34">
        <v>35</v>
      </c>
      <c r="AB8" s="34">
        <v>48</v>
      </c>
      <c r="AC8" s="36">
        <f t="shared" si="1"/>
        <v>331</v>
      </c>
    </row>
    <row r="9" ht="18.75" spans="1:29">
      <c r="A9" s="14" t="s">
        <v>367</v>
      </c>
      <c r="B9" s="37" t="s">
        <v>50</v>
      </c>
      <c r="C9" s="37" t="s">
        <v>50</v>
      </c>
      <c r="D9" s="37" t="s">
        <v>50</v>
      </c>
      <c r="E9" s="37" t="s">
        <v>50</v>
      </c>
      <c r="F9" s="37" t="s">
        <v>50</v>
      </c>
      <c r="G9" s="37" t="s">
        <v>50</v>
      </c>
      <c r="H9" s="34">
        <f t="shared" si="0"/>
        <v>0</v>
      </c>
      <c r="I9" s="37" t="s">
        <v>50</v>
      </c>
      <c r="J9" s="37" t="s">
        <v>50</v>
      </c>
      <c r="K9" s="37" t="s">
        <v>50</v>
      </c>
      <c r="L9" s="37" t="s">
        <v>50</v>
      </c>
      <c r="M9" s="37" t="s">
        <v>50</v>
      </c>
      <c r="N9" s="37" t="s">
        <v>50</v>
      </c>
      <c r="O9" s="3"/>
      <c r="P9" s="34">
        <v>60</v>
      </c>
      <c r="Q9" s="34">
        <v>83</v>
      </c>
      <c r="R9" s="34">
        <v>60</v>
      </c>
      <c r="S9" s="35">
        <v>87</v>
      </c>
      <c r="T9" s="34">
        <v>37</v>
      </c>
      <c r="U9" s="34">
        <v>50</v>
      </c>
      <c r="V9" s="34">
        <v>290</v>
      </c>
      <c r="W9" s="34">
        <v>70</v>
      </c>
      <c r="X9" s="34">
        <v>75</v>
      </c>
      <c r="Y9" s="34">
        <v>61</v>
      </c>
      <c r="Z9" s="35">
        <f t="shared" si="2"/>
        <v>69</v>
      </c>
      <c r="AA9" s="34">
        <v>31</v>
      </c>
      <c r="AB9" s="34">
        <v>38</v>
      </c>
      <c r="AC9" s="36">
        <f t="shared" si="1"/>
        <v>275</v>
      </c>
    </row>
    <row r="10" ht="18.75" spans="1:29">
      <c r="A10" s="14" t="s">
        <v>368</v>
      </c>
      <c r="B10" s="3">
        <v>86</v>
      </c>
      <c r="C10" s="3">
        <v>77</v>
      </c>
      <c r="D10" s="3">
        <v>37</v>
      </c>
      <c r="E10" s="3">
        <v>78</v>
      </c>
      <c r="F10" s="3">
        <v>52</v>
      </c>
      <c r="G10" s="3">
        <v>26</v>
      </c>
      <c r="H10" s="34">
        <f t="shared" si="0"/>
        <v>278</v>
      </c>
      <c r="I10" s="34">
        <v>70</v>
      </c>
      <c r="J10" s="34">
        <v>74</v>
      </c>
      <c r="K10" s="34">
        <v>79</v>
      </c>
      <c r="L10" s="34">
        <v>122</v>
      </c>
      <c r="M10" s="34">
        <v>64</v>
      </c>
      <c r="N10" s="34">
        <v>58</v>
      </c>
      <c r="O10" s="34">
        <v>345</v>
      </c>
      <c r="P10" s="34">
        <v>86</v>
      </c>
      <c r="Q10" s="34">
        <v>64</v>
      </c>
      <c r="R10" s="34">
        <v>80</v>
      </c>
      <c r="S10" s="35">
        <v>112</v>
      </c>
      <c r="T10" s="34">
        <v>44</v>
      </c>
      <c r="U10" s="34">
        <v>68</v>
      </c>
      <c r="V10" s="34">
        <v>342</v>
      </c>
      <c r="W10" s="34">
        <v>90</v>
      </c>
      <c r="X10" s="34">
        <v>63</v>
      </c>
      <c r="Y10" s="34">
        <v>91</v>
      </c>
      <c r="Z10" s="35">
        <f t="shared" ref="Z10:Z21" si="3">SUM(AA10:AB10)</f>
        <v>123</v>
      </c>
      <c r="AA10" s="34">
        <v>51</v>
      </c>
      <c r="AB10" s="34">
        <v>72</v>
      </c>
      <c r="AC10" s="36">
        <f t="shared" ref="AC10:AC34" si="4">SUM(W10:Z10)</f>
        <v>367</v>
      </c>
    </row>
    <row r="11" ht="18.75" spans="1:29">
      <c r="A11" s="14" t="s">
        <v>369</v>
      </c>
      <c r="B11" s="3">
        <v>72</v>
      </c>
      <c r="C11" s="3">
        <v>68</v>
      </c>
      <c r="D11" s="3">
        <v>44</v>
      </c>
      <c r="E11" s="3">
        <v>102</v>
      </c>
      <c r="F11" s="3">
        <v>64</v>
      </c>
      <c r="G11" s="3">
        <v>38</v>
      </c>
      <c r="H11" s="34">
        <f t="shared" si="0"/>
        <v>286</v>
      </c>
      <c r="I11" s="34">
        <v>72</v>
      </c>
      <c r="J11" s="34">
        <v>71</v>
      </c>
      <c r="K11" s="34">
        <v>80</v>
      </c>
      <c r="L11" s="34">
        <v>110</v>
      </c>
      <c r="M11" s="34">
        <v>62</v>
      </c>
      <c r="N11" s="34">
        <v>48</v>
      </c>
      <c r="O11" s="34">
        <v>333</v>
      </c>
      <c r="P11" s="34">
        <v>74</v>
      </c>
      <c r="Q11" s="34">
        <v>86</v>
      </c>
      <c r="R11" s="34">
        <v>77</v>
      </c>
      <c r="S11" s="35">
        <v>124</v>
      </c>
      <c r="T11" s="34">
        <v>50</v>
      </c>
      <c r="U11" s="34">
        <v>74</v>
      </c>
      <c r="V11" s="34">
        <v>361</v>
      </c>
      <c r="W11" s="35" t="s">
        <v>50</v>
      </c>
      <c r="X11" s="35" t="s">
        <v>50</v>
      </c>
      <c r="Y11" s="35" t="s">
        <v>50</v>
      </c>
      <c r="Z11" s="35" t="s">
        <v>50</v>
      </c>
      <c r="AA11" s="35" t="s">
        <v>50</v>
      </c>
      <c r="AB11" s="35" t="s">
        <v>50</v>
      </c>
      <c r="AC11" s="36">
        <f t="shared" si="4"/>
        <v>0</v>
      </c>
    </row>
    <row r="12" ht="18.75" spans="1:29">
      <c r="A12" s="14" t="s">
        <v>370</v>
      </c>
      <c r="B12" s="3">
        <v>80</v>
      </c>
      <c r="C12" s="3">
        <v>72</v>
      </c>
      <c r="D12" s="3">
        <v>52</v>
      </c>
      <c r="E12" s="3">
        <v>94</v>
      </c>
      <c r="F12" s="3">
        <v>58</v>
      </c>
      <c r="G12" s="3">
        <v>36</v>
      </c>
      <c r="H12" s="34">
        <f t="shared" si="0"/>
        <v>298</v>
      </c>
      <c r="I12" s="3">
        <v>84</v>
      </c>
      <c r="J12" s="3">
        <v>80</v>
      </c>
      <c r="K12" s="3">
        <v>77</v>
      </c>
      <c r="L12" s="3">
        <v>106</v>
      </c>
      <c r="M12" s="3">
        <v>58</v>
      </c>
      <c r="N12" s="3">
        <v>48</v>
      </c>
      <c r="O12" s="3">
        <v>347</v>
      </c>
      <c r="P12" s="34">
        <v>92</v>
      </c>
      <c r="Q12" s="34">
        <v>81</v>
      </c>
      <c r="R12" s="34">
        <v>98</v>
      </c>
      <c r="S12" s="35">
        <v>111</v>
      </c>
      <c r="T12" s="34">
        <v>43</v>
      </c>
      <c r="U12" s="34">
        <v>68</v>
      </c>
      <c r="V12" s="34">
        <v>382</v>
      </c>
      <c r="W12" s="34">
        <v>92</v>
      </c>
      <c r="X12" s="34">
        <v>62</v>
      </c>
      <c r="Y12" s="34">
        <v>88</v>
      </c>
      <c r="Z12" s="35">
        <f t="shared" si="3"/>
        <v>112</v>
      </c>
      <c r="AA12" s="34">
        <v>54</v>
      </c>
      <c r="AB12" s="34">
        <v>58</v>
      </c>
      <c r="AC12" s="36">
        <f t="shared" si="4"/>
        <v>354</v>
      </c>
    </row>
    <row r="13" ht="18.75" spans="1:29">
      <c r="A13" s="14" t="s">
        <v>371</v>
      </c>
      <c r="B13" s="3">
        <v>82</v>
      </c>
      <c r="C13" s="3">
        <v>76</v>
      </c>
      <c r="D13" s="3">
        <v>79</v>
      </c>
      <c r="E13" s="3">
        <v>92</v>
      </c>
      <c r="F13" s="3">
        <v>50</v>
      </c>
      <c r="G13" s="3">
        <v>42</v>
      </c>
      <c r="H13" s="34">
        <f t="shared" si="0"/>
        <v>329</v>
      </c>
      <c r="I13" s="34">
        <v>82</v>
      </c>
      <c r="J13" s="34">
        <v>71</v>
      </c>
      <c r="K13" s="34">
        <v>73</v>
      </c>
      <c r="L13" s="34">
        <v>102</v>
      </c>
      <c r="M13" s="34">
        <v>56</v>
      </c>
      <c r="N13" s="34">
        <v>46</v>
      </c>
      <c r="O13" s="34">
        <v>328</v>
      </c>
      <c r="P13" s="34">
        <v>78</v>
      </c>
      <c r="Q13" s="34">
        <v>90</v>
      </c>
      <c r="R13" s="34">
        <v>95</v>
      </c>
      <c r="S13" s="35">
        <v>127</v>
      </c>
      <c r="T13" s="34">
        <v>53</v>
      </c>
      <c r="U13" s="34">
        <v>74</v>
      </c>
      <c r="V13" s="34">
        <v>390</v>
      </c>
      <c r="W13" s="34">
        <v>92</v>
      </c>
      <c r="X13" s="34">
        <v>86</v>
      </c>
      <c r="Y13" s="34">
        <v>85</v>
      </c>
      <c r="Z13" s="35">
        <f t="shared" si="3"/>
        <v>119</v>
      </c>
      <c r="AA13" s="34">
        <v>57</v>
      </c>
      <c r="AB13" s="34">
        <v>62</v>
      </c>
      <c r="AC13" s="36">
        <f t="shared" si="4"/>
        <v>382</v>
      </c>
    </row>
    <row r="14" ht="18.75" spans="1:29">
      <c r="A14" s="14" t="s">
        <v>372</v>
      </c>
      <c r="B14" s="3">
        <v>90</v>
      </c>
      <c r="C14" s="3">
        <v>83</v>
      </c>
      <c r="D14" s="3">
        <v>70</v>
      </c>
      <c r="E14" s="3">
        <v>90</v>
      </c>
      <c r="F14" s="3">
        <v>56</v>
      </c>
      <c r="G14" s="3">
        <v>34</v>
      </c>
      <c r="H14" s="34">
        <f t="shared" si="0"/>
        <v>333</v>
      </c>
      <c r="I14" s="34">
        <v>88</v>
      </c>
      <c r="J14" s="34">
        <v>76</v>
      </c>
      <c r="K14" s="34">
        <v>85</v>
      </c>
      <c r="L14" s="34">
        <v>136</v>
      </c>
      <c r="M14" s="34">
        <v>76</v>
      </c>
      <c r="N14" s="34">
        <v>60</v>
      </c>
      <c r="O14" s="34">
        <v>385</v>
      </c>
      <c r="P14" s="34">
        <v>78</v>
      </c>
      <c r="Q14" s="34">
        <v>78</v>
      </c>
      <c r="R14" s="34">
        <v>84</v>
      </c>
      <c r="S14" s="35">
        <v>123</v>
      </c>
      <c r="T14" s="34">
        <v>47</v>
      </c>
      <c r="U14" s="34">
        <v>76</v>
      </c>
      <c r="V14" s="34">
        <v>363</v>
      </c>
      <c r="W14" s="34">
        <v>94</v>
      </c>
      <c r="X14" s="34">
        <v>87</v>
      </c>
      <c r="Y14" s="34">
        <v>85</v>
      </c>
      <c r="Z14" s="35">
        <f t="shared" si="3"/>
        <v>115</v>
      </c>
      <c r="AA14" s="34">
        <v>51</v>
      </c>
      <c r="AB14" s="34">
        <v>64</v>
      </c>
      <c r="AC14" s="36">
        <f t="shared" si="4"/>
        <v>381</v>
      </c>
    </row>
    <row r="15" ht="18.75" spans="1:29">
      <c r="A15" s="14" t="s">
        <v>373</v>
      </c>
      <c r="B15" s="3">
        <v>86</v>
      </c>
      <c r="C15" s="3">
        <v>73</v>
      </c>
      <c r="D15" s="3">
        <v>45</v>
      </c>
      <c r="E15" s="3">
        <v>70</v>
      </c>
      <c r="F15" s="3">
        <v>42</v>
      </c>
      <c r="G15" s="3">
        <v>28</v>
      </c>
      <c r="H15" s="34">
        <f t="shared" si="0"/>
        <v>274</v>
      </c>
      <c r="I15" s="34">
        <v>82</v>
      </c>
      <c r="J15" s="34">
        <v>60</v>
      </c>
      <c r="K15" s="34">
        <v>55</v>
      </c>
      <c r="L15" s="34">
        <v>120</v>
      </c>
      <c r="M15" s="34">
        <v>60</v>
      </c>
      <c r="N15" s="34">
        <v>60</v>
      </c>
      <c r="O15" s="34">
        <v>317</v>
      </c>
      <c r="P15" s="34">
        <v>92</v>
      </c>
      <c r="Q15" s="34">
        <v>80</v>
      </c>
      <c r="R15" s="34">
        <v>89</v>
      </c>
      <c r="S15" s="35">
        <v>119</v>
      </c>
      <c r="T15" s="34">
        <v>47</v>
      </c>
      <c r="U15" s="34">
        <v>72</v>
      </c>
      <c r="V15" s="34">
        <v>380</v>
      </c>
      <c r="W15" s="34">
        <v>82</v>
      </c>
      <c r="X15" s="34">
        <v>82</v>
      </c>
      <c r="Y15" s="34">
        <v>68</v>
      </c>
      <c r="Z15" s="35">
        <f t="shared" si="3"/>
        <v>114</v>
      </c>
      <c r="AA15" s="34">
        <v>44</v>
      </c>
      <c r="AB15" s="34">
        <v>70</v>
      </c>
      <c r="AC15" s="36">
        <f t="shared" si="4"/>
        <v>346</v>
      </c>
    </row>
    <row r="16" ht="18.75" spans="1:29">
      <c r="A16" s="14" t="s">
        <v>374</v>
      </c>
      <c r="B16" s="3">
        <v>84</v>
      </c>
      <c r="C16" s="3">
        <v>77</v>
      </c>
      <c r="D16" s="3">
        <v>67</v>
      </c>
      <c r="E16" s="3">
        <v>94</v>
      </c>
      <c r="F16" s="3">
        <v>60</v>
      </c>
      <c r="G16" s="3">
        <v>34</v>
      </c>
      <c r="H16" s="34">
        <f t="shared" si="0"/>
        <v>322</v>
      </c>
      <c r="I16" s="34">
        <v>76</v>
      </c>
      <c r="J16" s="34">
        <v>84</v>
      </c>
      <c r="K16" s="34">
        <v>86</v>
      </c>
      <c r="L16" s="34">
        <v>116</v>
      </c>
      <c r="M16" s="34">
        <v>70</v>
      </c>
      <c r="N16" s="34">
        <v>46</v>
      </c>
      <c r="O16" s="34">
        <v>362</v>
      </c>
      <c r="P16" s="34">
        <v>86</v>
      </c>
      <c r="Q16" s="34">
        <v>75</v>
      </c>
      <c r="R16" s="34">
        <v>86</v>
      </c>
      <c r="S16" s="35">
        <v>114</v>
      </c>
      <c r="T16" s="34">
        <v>56</v>
      </c>
      <c r="U16" s="34">
        <v>58</v>
      </c>
      <c r="V16" s="34">
        <v>361</v>
      </c>
      <c r="W16" s="34">
        <v>82</v>
      </c>
      <c r="X16" s="34">
        <v>72</v>
      </c>
      <c r="Y16" s="34">
        <v>84</v>
      </c>
      <c r="Z16" s="35">
        <f t="shared" si="3"/>
        <v>114</v>
      </c>
      <c r="AA16" s="34">
        <v>48</v>
      </c>
      <c r="AB16" s="34">
        <v>66</v>
      </c>
      <c r="AC16" s="36">
        <f t="shared" si="4"/>
        <v>352</v>
      </c>
    </row>
    <row r="17" ht="18.75" spans="1:29">
      <c r="A17" s="14" t="s">
        <v>375</v>
      </c>
      <c r="B17" s="3">
        <v>84</v>
      </c>
      <c r="C17" s="3">
        <v>63</v>
      </c>
      <c r="D17" s="3">
        <v>68</v>
      </c>
      <c r="E17" s="3">
        <v>82</v>
      </c>
      <c r="F17" s="3">
        <v>56</v>
      </c>
      <c r="G17" s="3">
        <v>26</v>
      </c>
      <c r="H17" s="34">
        <f t="shared" si="0"/>
        <v>297</v>
      </c>
      <c r="I17" s="34">
        <v>78</v>
      </c>
      <c r="J17" s="34">
        <v>78</v>
      </c>
      <c r="K17" s="34">
        <v>59</v>
      </c>
      <c r="L17" s="34">
        <v>114</v>
      </c>
      <c r="M17" s="34">
        <v>68</v>
      </c>
      <c r="N17" s="34">
        <v>46</v>
      </c>
      <c r="O17" s="34">
        <v>329</v>
      </c>
      <c r="P17" s="34">
        <v>84</v>
      </c>
      <c r="Q17" s="34">
        <v>70</v>
      </c>
      <c r="R17" s="34">
        <v>89</v>
      </c>
      <c r="S17" s="35">
        <v>104</v>
      </c>
      <c r="T17" s="34">
        <v>56</v>
      </c>
      <c r="U17" s="34">
        <v>48</v>
      </c>
      <c r="V17" s="34">
        <v>347</v>
      </c>
      <c r="W17" s="34">
        <v>88</v>
      </c>
      <c r="X17" s="34">
        <v>73</v>
      </c>
      <c r="Y17" s="34">
        <v>83</v>
      </c>
      <c r="Z17" s="35">
        <f t="shared" si="3"/>
        <v>101</v>
      </c>
      <c r="AA17" s="34">
        <v>41</v>
      </c>
      <c r="AB17" s="34">
        <v>60</v>
      </c>
      <c r="AC17" s="36">
        <f t="shared" si="4"/>
        <v>345</v>
      </c>
    </row>
    <row r="18" ht="18.75" spans="1:29">
      <c r="A18" s="14" t="s">
        <v>376</v>
      </c>
      <c r="B18" s="3">
        <v>86</v>
      </c>
      <c r="C18" s="3">
        <v>72</v>
      </c>
      <c r="D18" s="3">
        <v>70</v>
      </c>
      <c r="E18" s="3">
        <v>82</v>
      </c>
      <c r="F18" s="3">
        <v>44</v>
      </c>
      <c r="G18" s="3">
        <v>38</v>
      </c>
      <c r="H18" s="34">
        <f t="shared" si="0"/>
        <v>310</v>
      </c>
      <c r="I18" s="34">
        <v>88</v>
      </c>
      <c r="J18" s="34">
        <v>77</v>
      </c>
      <c r="K18" s="34">
        <v>59</v>
      </c>
      <c r="L18" s="34">
        <v>122</v>
      </c>
      <c r="M18" s="34">
        <v>68</v>
      </c>
      <c r="N18" s="34">
        <v>54</v>
      </c>
      <c r="O18" s="34">
        <v>346</v>
      </c>
      <c r="P18" s="34">
        <v>86</v>
      </c>
      <c r="Q18" s="34">
        <v>77</v>
      </c>
      <c r="R18" s="34">
        <v>89</v>
      </c>
      <c r="S18" s="35">
        <v>103</v>
      </c>
      <c r="T18" s="34">
        <v>53</v>
      </c>
      <c r="U18" s="34">
        <v>50</v>
      </c>
      <c r="V18" s="34">
        <v>355</v>
      </c>
      <c r="W18" s="34">
        <v>88</v>
      </c>
      <c r="X18" s="34">
        <v>70</v>
      </c>
      <c r="Y18" s="34">
        <v>80</v>
      </c>
      <c r="Z18" s="35">
        <f t="shared" si="3"/>
        <v>99</v>
      </c>
      <c r="AA18" s="34">
        <v>43</v>
      </c>
      <c r="AB18" s="34">
        <v>56</v>
      </c>
      <c r="AC18" s="36">
        <f t="shared" si="4"/>
        <v>337</v>
      </c>
    </row>
    <row r="19" ht="18.75" spans="1:29">
      <c r="A19" s="14" t="s">
        <v>377</v>
      </c>
      <c r="B19" s="3">
        <v>82</v>
      </c>
      <c r="C19" s="3">
        <v>79</v>
      </c>
      <c r="D19" s="3">
        <v>67</v>
      </c>
      <c r="E19" s="3">
        <v>74</v>
      </c>
      <c r="F19" s="3">
        <v>46</v>
      </c>
      <c r="G19" s="3">
        <v>28</v>
      </c>
      <c r="H19" s="34">
        <f t="shared" ref="H19:H48" si="5">SUM(B19:E19)</f>
        <v>302</v>
      </c>
      <c r="I19" s="34">
        <v>78</v>
      </c>
      <c r="J19" s="34">
        <v>69</v>
      </c>
      <c r="K19" s="34">
        <v>86</v>
      </c>
      <c r="L19" s="34">
        <v>104</v>
      </c>
      <c r="M19" s="34">
        <v>50</v>
      </c>
      <c r="N19" s="34">
        <v>54</v>
      </c>
      <c r="O19" s="34">
        <v>337</v>
      </c>
      <c r="P19" s="34">
        <v>84</v>
      </c>
      <c r="Q19" s="34">
        <v>80</v>
      </c>
      <c r="R19" s="34">
        <v>94</v>
      </c>
      <c r="S19" s="35">
        <v>115</v>
      </c>
      <c r="T19" s="34">
        <v>53</v>
      </c>
      <c r="U19" s="34">
        <v>62</v>
      </c>
      <c r="V19" s="34">
        <v>373</v>
      </c>
      <c r="W19" s="34">
        <v>86</v>
      </c>
      <c r="X19" s="34">
        <v>81</v>
      </c>
      <c r="Y19" s="34">
        <v>83</v>
      </c>
      <c r="Z19" s="35">
        <f t="shared" si="3"/>
        <v>124</v>
      </c>
      <c r="AA19" s="34">
        <v>60</v>
      </c>
      <c r="AB19" s="34">
        <v>64</v>
      </c>
      <c r="AC19" s="36">
        <f t="shared" si="4"/>
        <v>374</v>
      </c>
    </row>
    <row r="20" ht="18.75" spans="1:29">
      <c r="A20" s="14" t="s">
        <v>378</v>
      </c>
      <c r="B20" s="37" t="s">
        <v>50</v>
      </c>
      <c r="C20" s="37" t="s">
        <v>50</v>
      </c>
      <c r="D20" s="37" t="s">
        <v>50</v>
      </c>
      <c r="E20" s="37" t="s">
        <v>50</v>
      </c>
      <c r="F20" s="37" t="s">
        <v>50</v>
      </c>
      <c r="G20" s="37" t="s">
        <v>50</v>
      </c>
      <c r="H20" s="34">
        <f t="shared" si="5"/>
        <v>0</v>
      </c>
      <c r="I20" s="34">
        <v>50</v>
      </c>
      <c r="J20" s="34">
        <v>65</v>
      </c>
      <c r="K20" s="34">
        <v>41</v>
      </c>
      <c r="L20" s="34">
        <v>72</v>
      </c>
      <c r="M20" s="34">
        <v>36</v>
      </c>
      <c r="N20" s="34">
        <v>36</v>
      </c>
      <c r="O20" s="34">
        <v>228</v>
      </c>
      <c r="P20" s="34">
        <v>86</v>
      </c>
      <c r="Q20" s="34">
        <v>74</v>
      </c>
      <c r="R20" s="34">
        <v>72</v>
      </c>
      <c r="S20" s="35">
        <v>110</v>
      </c>
      <c r="T20" s="34">
        <v>56</v>
      </c>
      <c r="U20" s="34">
        <v>54</v>
      </c>
      <c r="V20" s="34">
        <v>342</v>
      </c>
      <c r="W20" s="34">
        <v>82</v>
      </c>
      <c r="X20" s="34">
        <v>81</v>
      </c>
      <c r="Y20" s="34">
        <v>81</v>
      </c>
      <c r="Z20" s="35">
        <f t="shared" si="3"/>
        <v>122</v>
      </c>
      <c r="AA20" s="34">
        <v>54</v>
      </c>
      <c r="AB20" s="34">
        <v>68</v>
      </c>
      <c r="AC20" s="36">
        <f t="shared" si="4"/>
        <v>366</v>
      </c>
    </row>
    <row r="21" ht="18.75" spans="1:29">
      <c r="A21" s="14" t="s">
        <v>379</v>
      </c>
      <c r="B21" s="3">
        <v>88</v>
      </c>
      <c r="C21" s="3">
        <v>74</v>
      </c>
      <c r="D21" s="3">
        <v>60</v>
      </c>
      <c r="E21" s="3">
        <v>82</v>
      </c>
      <c r="F21" s="3">
        <v>54</v>
      </c>
      <c r="G21" s="3">
        <v>28</v>
      </c>
      <c r="H21" s="34">
        <f t="shared" si="5"/>
        <v>304</v>
      </c>
      <c r="I21" s="34">
        <v>82</v>
      </c>
      <c r="J21" s="34">
        <v>66</v>
      </c>
      <c r="K21" s="34">
        <v>94</v>
      </c>
      <c r="L21" s="34">
        <v>118</v>
      </c>
      <c r="M21" s="34">
        <v>64</v>
      </c>
      <c r="N21" s="34">
        <v>54</v>
      </c>
      <c r="O21" s="34">
        <v>360</v>
      </c>
      <c r="P21" s="34">
        <v>82</v>
      </c>
      <c r="Q21" s="34">
        <v>80</v>
      </c>
      <c r="R21" s="34">
        <v>97</v>
      </c>
      <c r="S21" s="35">
        <v>132</v>
      </c>
      <c r="T21" s="34">
        <v>54</v>
      </c>
      <c r="U21" s="34">
        <v>78</v>
      </c>
      <c r="V21" s="34">
        <v>391</v>
      </c>
      <c r="W21" s="34">
        <v>88</v>
      </c>
      <c r="X21" s="34">
        <v>80</v>
      </c>
      <c r="Y21" s="34">
        <v>85</v>
      </c>
      <c r="Z21" s="35">
        <f t="shared" si="3"/>
        <v>123</v>
      </c>
      <c r="AA21" s="34">
        <v>57</v>
      </c>
      <c r="AB21" s="34">
        <v>66</v>
      </c>
      <c r="AC21" s="36">
        <f t="shared" si="4"/>
        <v>376</v>
      </c>
    </row>
    <row r="22" ht="18.75" spans="1:29">
      <c r="A22" s="14" t="s">
        <v>380</v>
      </c>
      <c r="B22" s="3">
        <v>90</v>
      </c>
      <c r="C22" s="3">
        <v>74</v>
      </c>
      <c r="D22" s="3">
        <v>70</v>
      </c>
      <c r="E22" s="3">
        <v>56</v>
      </c>
      <c r="F22" s="3">
        <v>32</v>
      </c>
      <c r="G22" s="3">
        <v>26</v>
      </c>
      <c r="H22" s="34">
        <f t="shared" si="5"/>
        <v>290</v>
      </c>
      <c r="I22" s="34">
        <v>78</v>
      </c>
      <c r="J22" s="34">
        <v>72</v>
      </c>
      <c r="K22" s="34">
        <v>64</v>
      </c>
      <c r="L22" s="34">
        <v>96</v>
      </c>
      <c r="M22" s="34">
        <v>46</v>
      </c>
      <c r="N22" s="34">
        <v>50</v>
      </c>
      <c r="O22" s="34">
        <v>310</v>
      </c>
      <c r="P22" s="34">
        <v>88</v>
      </c>
      <c r="Q22" s="34">
        <v>73</v>
      </c>
      <c r="R22" s="34">
        <v>86</v>
      </c>
      <c r="S22" s="35">
        <v>114</v>
      </c>
      <c r="T22" s="34">
        <v>50</v>
      </c>
      <c r="U22" s="34">
        <v>64</v>
      </c>
      <c r="V22" s="34">
        <v>361</v>
      </c>
      <c r="W22" s="35" t="s">
        <v>50</v>
      </c>
      <c r="X22" s="35" t="s">
        <v>50</v>
      </c>
      <c r="Y22" s="35" t="s">
        <v>50</v>
      </c>
      <c r="Z22" s="35" t="s">
        <v>50</v>
      </c>
      <c r="AA22" s="35" t="s">
        <v>50</v>
      </c>
      <c r="AB22" s="35" t="s">
        <v>50</v>
      </c>
      <c r="AC22" s="36">
        <f t="shared" si="4"/>
        <v>0</v>
      </c>
    </row>
    <row r="23" ht="18.75" spans="1:29">
      <c r="A23" s="14" t="s">
        <v>381</v>
      </c>
      <c r="B23" s="3">
        <v>84</v>
      </c>
      <c r="C23" s="3">
        <v>81</v>
      </c>
      <c r="D23" s="3">
        <v>70</v>
      </c>
      <c r="E23" s="3">
        <v>62</v>
      </c>
      <c r="F23" s="3">
        <v>44</v>
      </c>
      <c r="G23" s="3">
        <v>18</v>
      </c>
      <c r="H23" s="34">
        <f t="shared" si="5"/>
        <v>297</v>
      </c>
      <c r="I23" s="34">
        <v>80</v>
      </c>
      <c r="J23" s="34">
        <v>79</v>
      </c>
      <c r="K23" s="34">
        <v>75</v>
      </c>
      <c r="L23" s="34">
        <v>120</v>
      </c>
      <c r="M23" s="34">
        <v>66</v>
      </c>
      <c r="N23" s="34">
        <v>54</v>
      </c>
      <c r="O23" s="34">
        <v>354</v>
      </c>
      <c r="P23" s="3">
        <v>82</v>
      </c>
      <c r="Q23" s="3">
        <v>76</v>
      </c>
      <c r="R23" s="3">
        <v>97</v>
      </c>
      <c r="S23" s="3">
        <v>114</v>
      </c>
      <c r="T23" s="3">
        <v>54</v>
      </c>
      <c r="U23" s="3">
        <v>60</v>
      </c>
      <c r="V23" s="3">
        <v>369</v>
      </c>
      <c r="W23" s="3">
        <v>88</v>
      </c>
      <c r="X23" s="3">
        <v>72</v>
      </c>
      <c r="Y23" s="3">
        <v>83</v>
      </c>
      <c r="Z23" s="35">
        <f>SUM(AA23:AB23)</f>
        <v>121</v>
      </c>
      <c r="AA23" s="3">
        <v>55</v>
      </c>
      <c r="AB23" s="3">
        <v>66</v>
      </c>
      <c r="AC23" s="36">
        <f t="shared" si="4"/>
        <v>364</v>
      </c>
    </row>
    <row r="24" ht="18.75" spans="1:29">
      <c r="A24" s="14" t="s">
        <v>382</v>
      </c>
      <c r="B24" s="3">
        <v>76</v>
      </c>
      <c r="C24" s="3">
        <v>46</v>
      </c>
      <c r="D24" s="3">
        <v>68</v>
      </c>
      <c r="E24" s="3">
        <v>78</v>
      </c>
      <c r="F24" s="3">
        <v>50</v>
      </c>
      <c r="G24" s="3">
        <v>28</v>
      </c>
      <c r="H24" s="34">
        <f t="shared" si="5"/>
        <v>268</v>
      </c>
      <c r="I24" s="34">
        <v>72</v>
      </c>
      <c r="J24" s="34">
        <v>58</v>
      </c>
      <c r="K24" s="34">
        <v>88</v>
      </c>
      <c r="L24" s="34">
        <v>100</v>
      </c>
      <c r="M24" s="34">
        <v>52</v>
      </c>
      <c r="N24" s="34">
        <v>48</v>
      </c>
      <c r="O24" s="34">
        <v>318</v>
      </c>
      <c r="P24" s="34">
        <v>76</v>
      </c>
      <c r="Q24" s="34">
        <v>58</v>
      </c>
      <c r="R24" s="34">
        <v>83</v>
      </c>
      <c r="S24" s="35">
        <v>120</v>
      </c>
      <c r="T24" s="34">
        <v>56</v>
      </c>
      <c r="U24" s="34">
        <v>64</v>
      </c>
      <c r="V24" s="34">
        <v>337</v>
      </c>
      <c r="W24" s="34">
        <v>76</v>
      </c>
      <c r="X24" s="34">
        <v>64</v>
      </c>
      <c r="Y24" s="34">
        <v>80</v>
      </c>
      <c r="Z24" s="35">
        <f>SUM(AA24:AB24)</f>
        <v>108</v>
      </c>
      <c r="AA24" s="34">
        <v>56</v>
      </c>
      <c r="AB24" s="34">
        <v>52</v>
      </c>
      <c r="AC24" s="36">
        <f t="shared" si="4"/>
        <v>328</v>
      </c>
    </row>
    <row r="25" ht="18.75" spans="1:29">
      <c r="A25" s="14" t="s">
        <v>383</v>
      </c>
      <c r="B25" s="3">
        <v>72</v>
      </c>
      <c r="C25" s="3">
        <v>80</v>
      </c>
      <c r="D25" s="3">
        <v>42</v>
      </c>
      <c r="E25" s="3">
        <v>68</v>
      </c>
      <c r="F25" s="3">
        <v>40</v>
      </c>
      <c r="G25" s="3">
        <v>28</v>
      </c>
      <c r="H25" s="34">
        <f t="shared" si="5"/>
        <v>262</v>
      </c>
      <c r="I25" s="34">
        <v>64</v>
      </c>
      <c r="J25" s="34">
        <v>53</v>
      </c>
      <c r="K25" s="34">
        <v>85</v>
      </c>
      <c r="L25" s="34">
        <v>110</v>
      </c>
      <c r="M25" s="34">
        <v>56</v>
      </c>
      <c r="N25" s="34">
        <v>54</v>
      </c>
      <c r="O25" s="34">
        <v>312</v>
      </c>
      <c r="P25" s="34">
        <v>78</v>
      </c>
      <c r="Q25" s="34">
        <v>63</v>
      </c>
      <c r="R25" s="34">
        <v>89</v>
      </c>
      <c r="S25" s="35">
        <v>121</v>
      </c>
      <c r="T25" s="34">
        <v>57</v>
      </c>
      <c r="U25" s="34">
        <v>64</v>
      </c>
      <c r="V25" s="34">
        <v>351</v>
      </c>
      <c r="W25" s="35" t="s">
        <v>50</v>
      </c>
      <c r="X25" s="35" t="s">
        <v>50</v>
      </c>
      <c r="Y25" s="35" t="s">
        <v>50</v>
      </c>
      <c r="Z25" s="35" t="s">
        <v>50</v>
      </c>
      <c r="AA25" s="35" t="s">
        <v>50</v>
      </c>
      <c r="AB25" s="35" t="s">
        <v>50</v>
      </c>
      <c r="AC25" s="36">
        <f t="shared" si="4"/>
        <v>0</v>
      </c>
    </row>
    <row r="26" ht="18.75" spans="1:29">
      <c r="A26" s="14" t="s">
        <v>384</v>
      </c>
      <c r="B26" s="3">
        <v>80</v>
      </c>
      <c r="C26" s="3">
        <v>95</v>
      </c>
      <c r="D26" s="3">
        <v>55</v>
      </c>
      <c r="E26" s="3">
        <v>78</v>
      </c>
      <c r="F26" s="3">
        <v>48</v>
      </c>
      <c r="G26" s="3">
        <v>30</v>
      </c>
      <c r="H26" s="34">
        <f t="shared" si="5"/>
        <v>308</v>
      </c>
      <c r="I26" s="34">
        <v>76</v>
      </c>
      <c r="J26" s="34">
        <v>86</v>
      </c>
      <c r="K26" s="35">
        <v>97</v>
      </c>
      <c r="L26" s="34">
        <v>124</v>
      </c>
      <c r="M26" s="34">
        <v>64</v>
      </c>
      <c r="N26" s="34">
        <v>60</v>
      </c>
      <c r="O26" s="34">
        <v>383</v>
      </c>
      <c r="P26" s="34">
        <v>88</v>
      </c>
      <c r="Q26" s="34">
        <v>92</v>
      </c>
      <c r="R26" s="35">
        <v>88</v>
      </c>
      <c r="S26" s="35">
        <v>126</v>
      </c>
      <c r="T26" s="34">
        <v>52</v>
      </c>
      <c r="U26" s="34">
        <v>74</v>
      </c>
      <c r="V26" s="34">
        <v>394</v>
      </c>
      <c r="W26" s="34">
        <v>78</v>
      </c>
      <c r="X26" s="34">
        <v>89</v>
      </c>
      <c r="Y26" s="35">
        <v>77</v>
      </c>
      <c r="Z26" s="35">
        <f>SUM(AA26:AB26)</f>
        <v>126</v>
      </c>
      <c r="AA26" s="34">
        <v>54</v>
      </c>
      <c r="AB26" s="34">
        <v>72</v>
      </c>
      <c r="AC26" s="36">
        <f t="shared" si="4"/>
        <v>370</v>
      </c>
    </row>
    <row r="27" ht="18.75" spans="1:29">
      <c r="A27" s="14" t="s">
        <v>385</v>
      </c>
      <c r="B27" s="3">
        <v>86</v>
      </c>
      <c r="C27" s="3">
        <v>87</v>
      </c>
      <c r="D27" s="3">
        <v>95</v>
      </c>
      <c r="E27" s="3">
        <v>80</v>
      </c>
      <c r="F27" s="3">
        <v>52</v>
      </c>
      <c r="G27" s="3">
        <v>28</v>
      </c>
      <c r="H27" s="34">
        <f t="shared" si="5"/>
        <v>348</v>
      </c>
      <c r="I27" s="34">
        <v>84</v>
      </c>
      <c r="J27" s="34">
        <v>76</v>
      </c>
      <c r="K27" s="34">
        <v>88</v>
      </c>
      <c r="L27" s="35">
        <v>138</v>
      </c>
      <c r="M27" s="34">
        <v>88</v>
      </c>
      <c r="N27" s="34">
        <v>50</v>
      </c>
      <c r="O27" s="34">
        <v>386</v>
      </c>
      <c r="P27" s="3">
        <v>96</v>
      </c>
      <c r="Q27" s="3">
        <v>82</v>
      </c>
      <c r="R27" s="3">
        <v>88</v>
      </c>
      <c r="S27" s="3">
        <v>146</v>
      </c>
      <c r="T27" s="3">
        <v>60</v>
      </c>
      <c r="U27" s="3">
        <v>86</v>
      </c>
      <c r="V27" s="3">
        <v>412</v>
      </c>
      <c r="W27" s="3">
        <v>84</v>
      </c>
      <c r="X27" s="3">
        <v>92</v>
      </c>
      <c r="Y27" s="3">
        <v>94</v>
      </c>
      <c r="Z27" s="35">
        <f>SUM(AA27:AB27)</f>
        <v>130</v>
      </c>
      <c r="AA27" s="3">
        <v>60</v>
      </c>
      <c r="AB27" s="3">
        <v>70</v>
      </c>
      <c r="AC27" s="36">
        <f t="shared" si="4"/>
        <v>400</v>
      </c>
    </row>
    <row r="28" ht="18.75" spans="1:29">
      <c r="A28" s="14" t="s">
        <v>386</v>
      </c>
      <c r="B28" s="3">
        <v>58</v>
      </c>
      <c r="C28" s="3">
        <v>68</v>
      </c>
      <c r="D28" s="3">
        <v>68</v>
      </c>
      <c r="E28" s="3">
        <v>82</v>
      </c>
      <c r="F28" s="3">
        <v>48</v>
      </c>
      <c r="G28" s="3">
        <v>34</v>
      </c>
      <c r="H28" s="34">
        <f t="shared" si="5"/>
        <v>276</v>
      </c>
      <c r="I28" s="34">
        <v>46</v>
      </c>
      <c r="J28" s="34">
        <v>42</v>
      </c>
      <c r="K28" s="34">
        <v>50</v>
      </c>
      <c r="L28" s="34">
        <v>90</v>
      </c>
      <c r="M28" s="34">
        <v>50</v>
      </c>
      <c r="N28" s="34">
        <v>40</v>
      </c>
      <c r="O28" s="34">
        <v>228</v>
      </c>
      <c r="P28" s="34">
        <v>64</v>
      </c>
      <c r="Q28" s="34">
        <v>62</v>
      </c>
      <c r="R28" s="34">
        <v>74</v>
      </c>
      <c r="S28" s="35">
        <v>123</v>
      </c>
      <c r="T28" s="34">
        <v>57</v>
      </c>
      <c r="U28" s="34">
        <v>66</v>
      </c>
      <c r="V28" s="34">
        <v>323</v>
      </c>
      <c r="W28" s="35" t="s">
        <v>50</v>
      </c>
      <c r="X28" s="35" t="s">
        <v>50</v>
      </c>
      <c r="Y28" s="35" t="s">
        <v>50</v>
      </c>
      <c r="Z28" s="35" t="s">
        <v>50</v>
      </c>
      <c r="AA28" s="35" t="s">
        <v>50</v>
      </c>
      <c r="AB28" s="35" t="s">
        <v>50</v>
      </c>
      <c r="AC28" s="36">
        <f t="shared" si="4"/>
        <v>0</v>
      </c>
    </row>
    <row r="29" ht="18.75" spans="1:29">
      <c r="A29" s="14" t="s">
        <v>387</v>
      </c>
      <c r="B29" s="3">
        <v>62</v>
      </c>
      <c r="C29" s="3">
        <v>38</v>
      </c>
      <c r="D29" s="3">
        <v>77</v>
      </c>
      <c r="E29" s="3">
        <v>66</v>
      </c>
      <c r="F29" s="3">
        <v>36</v>
      </c>
      <c r="G29" s="3">
        <v>30</v>
      </c>
      <c r="H29" s="34">
        <f t="shared" si="5"/>
        <v>243</v>
      </c>
      <c r="I29" s="34">
        <v>72</v>
      </c>
      <c r="J29" s="34">
        <v>39</v>
      </c>
      <c r="K29" s="34">
        <v>73</v>
      </c>
      <c r="L29" s="34">
        <v>92</v>
      </c>
      <c r="M29" s="34">
        <v>40</v>
      </c>
      <c r="N29" s="34">
        <v>52</v>
      </c>
      <c r="O29" s="34">
        <v>276</v>
      </c>
      <c r="P29" s="34">
        <v>76</v>
      </c>
      <c r="Q29" s="34">
        <v>29</v>
      </c>
      <c r="R29" s="34">
        <v>73</v>
      </c>
      <c r="S29" s="35">
        <v>115</v>
      </c>
      <c r="T29" s="34">
        <v>47</v>
      </c>
      <c r="U29" s="34">
        <v>68</v>
      </c>
      <c r="V29" s="34">
        <v>293</v>
      </c>
      <c r="W29" s="34">
        <v>72</v>
      </c>
      <c r="X29" s="34">
        <v>25</v>
      </c>
      <c r="Y29" s="34">
        <v>83</v>
      </c>
      <c r="Z29" s="35">
        <f>SUM(AA29:AB29)</f>
        <v>107</v>
      </c>
      <c r="AA29" s="34">
        <v>49</v>
      </c>
      <c r="AB29" s="34">
        <v>58</v>
      </c>
      <c r="AC29" s="36">
        <f t="shared" si="4"/>
        <v>287</v>
      </c>
    </row>
    <row r="30" ht="18.75" spans="1:29">
      <c r="A30" s="14" t="s">
        <v>388</v>
      </c>
      <c r="B30" s="3">
        <v>36</v>
      </c>
      <c r="C30" s="3">
        <v>55</v>
      </c>
      <c r="D30" s="3">
        <v>56</v>
      </c>
      <c r="E30" s="3">
        <v>110</v>
      </c>
      <c r="F30" s="3">
        <v>58</v>
      </c>
      <c r="G30" s="3">
        <v>52</v>
      </c>
      <c r="H30" s="34">
        <f t="shared" si="5"/>
        <v>257</v>
      </c>
      <c r="I30" s="34">
        <v>50</v>
      </c>
      <c r="J30" s="34">
        <v>66</v>
      </c>
      <c r="K30" s="34">
        <v>67</v>
      </c>
      <c r="L30" s="34">
        <v>118</v>
      </c>
      <c r="M30" s="34">
        <v>64</v>
      </c>
      <c r="N30" s="34">
        <v>54</v>
      </c>
      <c r="O30" s="34">
        <v>301</v>
      </c>
      <c r="P30" s="34">
        <v>50</v>
      </c>
      <c r="Q30" s="34">
        <v>56</v>
      </c>
      <c r="R30" s="34">
        <v>65</v>
      </c>
      <c r="S30" s="35">
        <v>78</v>
      </c>
      <c r="T30" s="34">
        <v>42</v>
      </c>
      <c r="U30" s="34">
        <v>36</v>
      </c>
      <c r="V30" s="34">
        <v>249</v>
      </c>
      <c r="W30" s="34">
        <v>50</v>
      </c>
      <c r="X30" s="34">
        <v>64</v>
      </c>
      <c r="Y30" s="34">
        <v>77</v>
      </c>
      <c r="Z30" s="35">
        <f>SUM(AA30:AB30)</f>
        <v>102</v>
      </c>
      <c r="AA30" s="34">
        <v>48</v>
      </c>
      <c r="AB30" s="34">
        <v>54</v>
      </c>
      <c r="AC30" s="36">
        <f t="shared" si="4"/>
        <v>293</v>
      </c>
    </row>
    <row r="31" ht="18.75" spans="1:29">
      <c r="A31" s="14" t="s">
        <v>389</v>
      </c>
      <c r="B31" s="37" t="s">
        <v>50</v>
      </c>
      <c r="C31" s="37" t="s">
        <v>50</v>
      </c>
      <c r="D31" s="37" t="s">
        <v>50</v>
      </c>
      <c r="E31" s="37" t="s">
        <v>50</v>
      </c>
      <c r="F31" s="37" t="s">
        <v>50</v>
      </c>
      <c r="G31" s="37" t="s">
        <v>50</v>
      </c>
      <c r="H31" s="34">
        <f t="shared" si="5"/>
        <v>0</v>
      </c>
      <c r="I31" s="34">
        <v>60</v>
      </c>
      <c r="J31" s="34">
        <v>50</v>
      </c>
      <c r="K31" s="34">
        <v>89</v>
      </c>
      <c r="L31" s="34">
        <v>118</v>
      </c>
      <c r="M31" s="34">
        <v>72</v>
      </c>
      <c r="N31" s="34">
        <v>46</v>
      </c>
      <c r="O31" s="34">
        <v>317</v>
      </c>
      <c r="P31" s="35" t="s">
        <v>50</v>
      </c>
      <c r="Q31" s="35" t="s">
        <v>50</v>
      </c>
      <c r="R31" s="35" t="s">
        <v>50</v>
      </c>
      <c r="S31" s="35" t="s">
        <v>50</v>
      </c>
      <c r="T31" s="35" t="s">
        <v>50</v>
      </c>
      <c r="U31" s="35" t="s">
        <v>50</v>
      </c>
      <c r="V31" s="35" t="s">
        <v>50</v>
      </c>
      <c r="W31" s="35">
        <v>68</v>
      </c>
      <c r="X31" s="35">
        <v>43</v>
      </c>
      <c r="Y31" s="35">
        <v>89</v>
      </c>
      <c r="Z31" s="35">
        <f>SUM(AA31:AB31)</f>
        <v>88</v>
      </c>
      <c r="AA31" s="35">
        <v>42</v>
      </c>
      <c r="AB31" s="35">
        <v>46</v>
      </c>
      <c r="AC31" s="36">
        <f t="shared" si="4"/>
        <v>288</v>
      </c>
    </row>
    <row r="32" ht="18.75" spans="1:29">
      <c r="A32" s="14" t="s">
        <v>390</v>
      </c>
      <c r="B32" s="3">
        <v>64</v>
      </c>
      <c r="C32" s="3">
        <v>58</v>
      </c>
      <c r="D32" s="3">
        <v>65</v>
      </c>
      <c r="E32" s="3">
        <v>76</v>
      </c>
      <c r="F32" s="3">
        <v>48</v>
      </c>
      <c r="G32" s="3">
        <v>28</v>
      </c>
      <c r="H32" s="34">
        <f t="shared" si="5"/>
        <v>263</v>
      </c>
      <c r="I32" s="34">
        <v>50</v>
      </c>
      <c r="J32" s="34">
        <v>67</v>
      </c>
      <c r="K32" s="34">
        <v>62</v>
      </c>
      <c r="L32" s="34">
        <v>116</v>
      </c>
      <c r="M32" s="34">
        <v>56</v>
      </c>
      <c r="N32" s="34">
        <v>60</v>
      </c>
      <c r="O32" s="34">
        <v>295</v>
      </c>
      <c r="P32" s="35" t="s">
        <v>50</v>
      </c>
      <c r="Q32" s="35" t="s">
        <v>50</v>
      </c>
      <c r="R32" s="35" t="s">
        <v>50</v>
      </c>
      <c r="S32" s="35" t="s">
        <v>50</v>
      </c>
      <c r="T32" s="35" t="s">
        <v>50</v>
      </c>
      <c r="U32" s="35" t="s">
        <v>50</v>
      </c>
      <c r="V32" s="35" t="s">
        <v>50</v>
      </c>
      <c r="W32" s="35">
        <v>56</v>
      </c>
      <c r="X32" s="35">
        <v>41</v>
      </c>
      <c r="Y32" s="35">
        <v>84</v>
      </c>
      <c r="Z32" s="35">
        <f>SUM(AA32:AB32)</f>
        <v>96</v>
      </c>
      <c r="AA32" s="35">
        <v>50</v>
      </c>
      <c r="AB32" s="35">
        <v>46</v>
      </c>
      <c r="AC32" s="36">
        <f t="shared" si="4"/>
        <v>277</v>
      </c>
    </row>
    <row r="33" ht="18.75" spans="1:29">
      <c r="A33" s="14" t="s">
        <v>391</v>
      </c>
      <c r="B33" s="3">
        <v>70</v>
      </c>
      <c r="C33" s="3">
        <v>65</v>
      </c>
      <c r="D33" s="3">
        <v>52</v>
      </c>
      <c r="E33" s="3">
        <v>98</v>
      </c>
      <c r="F33" s="3">
        <v>68</v>
      </c>
      <c r="G33" s="3">
        <v>30</v>
      </c>
      <c r="H33" s="34">
        <f t="shared" si="5"/>
        <v>285</v>
      </c>
      <c r="I33" s="34">
        <v>66</v>
      </c>
      <c r="J33" s="34">
        <v>74</v>
      </c>
      <c r="K33" s="34">
        <v>80</v>
      </c>
      <c r="L33" s="34">
        <v>122</v>
      </c>
      <c r="M33" s="34">
        <v>68</v>
      </c>
      <c r="N33" s="34">
        <v>54</v>
      </c>
      <c r="O33" s="34">
        <v>342</v>
      </c>
      <c r="P33" s="34">
        <v>64</v>
      </c>
      <c r="Q33" s="34">
        <v>57</v>
      </c>
      <c r="R33" s="34">
        <v>83</v>
      </c>
      <c r="S33" s="35">
        <v>139</v>
      </c>
      <c r="T33" s="34">
        <v>57</v>
      </c>
      <c r="U33" s="34">
        <v>82</v>
      </c>
      <c r="V33" s="34">
        <v>343</v>
      </c>
      <c r="W33" s="34">
        <v>66</v>
      </c>
      <c r="X33" s="34">
        <v>43</v>
      </c>
      <c r="Y33" s="34">
        <v>92</v>
      </c>
      <c r="Z33" s="35">
        <f>SUM(AA33:AB33)</f>
        <v>128</v>
      </c>
      <c r="AA33" s="34">
        <v>56</v>
      </c>
      <c r="AB33" s="34">
        <v>72</v>
      </c>
      <c r="AC33" s="36">
        <f t="shared" si="4"/>
        <v>329</v>
      </c>
    </row>
    <row r="34" ht="18.75" spans="1:29">
      <c r="A34" s="14" t="s">
        <v>392</v>
      </c>
      <c r="B34" s="3">
        <v>92</v>
      </c>
      <c r="C34" s="3">
        <v>93</v>
      </c>
      <c r="D34" s="3">
        <v>65</v>
      </c>
      <c r="E34" s="3">
        <v>90</v>
      </c>
      <c r="F34" s="3">
        <v>50</v>
      </c>
      <c r="G34" s="3">
        <v>40</v>
      </c>
      <c r="H34" s="34">
        <f t="shared" si="5"/>
        <v>340</v>
      </c>
      <c r="I34" s="34">
        <v>76</v>
      </c>
      <c r="J34" s="34">
        <v>85</v>
      </c>
      <c r="K34" s="34">
        <v>58</v>
      </c>
      <c r="L34" s="34">
        <v>110</v>
      </c>
      <c r="M34" s="34">
        <v>66</v>
      </c>
      <c r="N34" s="34">
        <v>44</v>
      </c>
      <c r="O34" s="34">
        <v>329</v>
      </c>
      <c r="P34" s="34">
        <v>84</v>
      </c>
      <c r="Q34" s="34">
        <v>86</v>
      </c>
      <c r="R34" s="34">
        <v>89</v>
      </c>
      <c r="S34" s="35">
        <v>132</v>
      </c>
      <c r="T34" s="34">
        <v>50</v>
      </c>
      <c r="U34" s="34">
        <v>82</v>
      </c>
      <c r="V34" s="34">
        <v>391</v>
      </c>
      <c r="W34" s="34">
        <v>82</v>
      </c>
      <c r="X34" s="34">
        <v>86</v>
      </c>
      <c r="Y34" s="34">
        <v>83</v>
      </c>
      <c r="Z34" s="35">
        <f t="shared" ref="Z34:Z50" si="6">SUM(AA34:AB34)</f>
        <v>111</v>
      </c>
      <c r="AA34" s="34">
        <v>45</v>
      </c>
      <c r="AB34" s="34">
        <v>66</v>
      </c>
      <c r="AC34" s="36">
        <f t="shared" ref="AC34:AC50" si="7">SUM(W34:Z34)</f>
        <v>362</v>
      </c>
    </row>
    <row r="35" ht="18.75" spans="1:29">
      <c r="A35" s="14" t="s">
        <v>393</v>
      </c>
      <c r="B35" s="3">
        <v>74</v>
      </c>
      <c r="C35" s="3">
        <v>46</v>
      </c>
      <c r="D35" s="3">
        <v>67</v>
      </c>
      <c r="E35" s="3">
        <v>64</v>
      </c>
      <c r="F35" s="3">
        <v>42</v>
      </c>
      <c r="G35" s="3">
        <v>22</v>
      </c>
      <c r="H35" s="34">
        <f t="shared" si="5"/>
        <v>251</v>
      </c>
      <c r="I35" s="34">
        <v>58</v>
      </c>
      <c r="J35" s="34">
        <v>62</v>
      </c>
      <c r="K35" s="34">
        <v>73</v>
      </c>
      <c r="L35" s="34">
        <v>100</v>
      </c>
      <c r="M35" s="34">
        <v>48</v>
      </c>
      <c r="N35" s="34">
        <v>52</v>
      </c>
      <c r="O35" s="34">
        <v>293</v>
      </c>
      <c r="P35" s="34">
        <v>74</v>
      </c>
      <c r="Q35" s="34">
        <v>52</v>
      </c>
      <c r="R35" s="34">
        <v>86</v>
      </c>
      <c r="S35" s="35">
        <v>125</v>
      </c>
      <c r="T35" s="34">
        <v>47</v>
      </c>
      <c r="U35" s="34">
        <v>78</v>
      </c>
      <c r="V35" s="34">
        <v>337</v>
      </c>
      <c r="W35" s="35" t="s">
        <v>50</v>
      </c>
      <c r="X35" s="35" t="s">
        <v>50</v>
      </c>
      <c r="Y35" s="35" t="s">
        <v>50</v>
      </c>
      <c r="Z35" s="35" t="s">
        <v>50</v>
      </c>
      <c r="AA35" s="35" t="s">
        <v>50</v>
      </c>
      <c r="AB35" s="35" t="s">
        <v>50</v>
      </c>
      <c r="AC35" s="36">
        <f t="shared" si="7"/>
        <v>0</v>
      </c>
    </row>
    <row r="36" ht="18.75" spans="1:29">
      <c r="A36" s="14" t="s">
        <v>394</v>
      </c>
      <c r="B36" s="3">
        <v>48</v>
      </c>
      <c r="C36" s="3">
        <v>37</v>
      </c>
      <c r="D36" s="3">
        <v>79</v>
      </c>
      <c r="E36" s="3">
        <v>82</v>
      </c>
      <c r="F36" s="3">
        <v>56</v>
      </c>
      <c r="G36" s="3">
        <v>26</v>
      </c>
      <c r="H36" s="34">
        <f t="shared" si="5"/>
        <v>246</v>
      </c>
      <c r="I36" s="34">
        <v>50</v>
      </c>
      <c r="J36" s="34">
        <v>40</v>
      </c>
      <c r="K36" s="34">
        <v>71</v>
      </c>
      <c r="L36" s="34">
        <v>114</v>
      </c>
      <c r="M36" s="34">
        <v>54</v>
      </c>
      <c r="N36" s="34">
        <v>60</v>
      </c>
      <c r="O36" s="34">
        <v>275</v>
      </c>
      <c r="P36" s="35" t="s">
        <v>50</v>
      </c>
      <c r="Q36" s="35" t="s">
        <v>50</v>
      </c>
      <c r="R36" s="35" t="s">
        <v>50</v>
      </c>
      <c r="S36" s="35" t="s">
        <v>50</v>
      </c>
      <c r="T36" s="35" t="s">
        <v>50</v>
      </c>
      <c r="U36" s="35" t="s">
        <v>50</v>
      </c>
      <c r="V36" s="35" t="s">
        <v>50</v>
      </c>
      <c r="W36" s="35">
        <v>66</v>
      </c>
      <c r="X36" s="35">
        <v>34</v>
      </c>
      <c r="Y36" s="35">
        <v>72</v>
      </c>
      <c r="Z36" s="35">
        <f t="shared" si="6"/>
        <v>96</v>
      </c>
      <c r="AA36" s="35">
        <v>50</v>
      </c>
      <c r="AB36" s="35">
        <v>46</v>
      </c>
      <c r="AC36" s="36">
        <f t="shared" si="7"/>
        <v>268</v>
      </c>
    </row>
    <row r="37" ht="18.75" spans="1:29">
      <c r="A37" s="14" t="s">
        <v>395</v>
      </c>
      <c r="B37" s="3">
        <v>60</v>
      </c>
      <c r="C37" s="3">
        <v>34</v>
      </c>
      <c r="D37" s="3">
        <v>72</v>
      </c>
      <c r="E37" s="3">
        <v>76</v>
      </c>
      <c r="F37" s="3">
        <v>48</v>
      </c>
      <c r="G37" s="3">
        <v>28</v>
      </c>
      <c r="H37" s="34">
        <f t="shared" si="5"/>
        <v>242</v>
      </c>
      <c r="I37" s="34">
        <v>58</v>
      </c>
      <c r="J37" s="34">
        <v>48</v>
      </c>
      <c r="K37" s="34">
        <v>89</v>
      </c>
      <c r="L37" s="34">
        <v>102</v>
      </c>
      <c r="M37" s="34">
        <v>56</v>
      </c>
      <c r="N37" s="34">
        <v>46</v>
      </c>
      <c r="O37" s="34">
        <v>297</v>
      </c>
      <c r="P37" s="35" t="s">
        <v>50</v>
      </c>
      <c r="Q37" s="35" t="s">
        <v>50</v>
      </c>
      <c r="R37" s="35" t="s">
        <v>50</v>
      </c>
      <c r="S37" s="35" t="s">
        <v>50</v>
      </c>
      <c r="T37" s="35" t="s">
        <v>50</v>
      </c>
      <c r="U37" s="35" t="s">
        <v>50</v>
      </c>
      <c r="V37" s="35" t="s">
        <v>50</v>
      </c>
      <c r="W37" s="35">
        <v>72</v>
      </c>
      <c r="X37" s="35">
        <v>47</v>
      </c>
      <c r="Y37" s="35">
        <v>86</v>
      </c>
      <c r="Z37" s="35">
        <f t="shared" si="6"/>
        <v>104</v>
      </c>
      <c r="AA37" s="35">
        <v>60</v>
      </c>
      <c r="AB37" s="35">
        <v>44</v>
      </c>
      <c r="AC37" s="36">
        <f t="shared" si="7"/>
        <v>309</v>
      </c>
    </row>
    <row r="38" ht="18.75" spans="1:29">
      <c r="A38" s="14" t="s">
        <v>396</v>
      </c>
      <c r="B38" s="3">
        <v>62</v>
      </c>
      <c r="C38" s="3">
        <v>34</v>
      </c>
      <c r="D38" s="3">
        <v>73</v>
      </c>
      <c r="E38" s="3">
        <v>76</v>
      </c>
      <c r="F38" s="3">
        <v>50</v>
      </c>
      <c r="G38" s="3">
        <v>26</v>
      </c>
      <c r="H38" s="34">
        <f t="shared" si="5"/>
        <v>245</v>
      </c>
      <c r="I38" s="34">
        <v>56</v>
      </c>
      <c r="J38" s="34">
        <v>59</v>
      </c>
      <c r="K38" s="34">
        <v>91</v>
      </c>
      <c r="L38" s="34">
        <v>134</v>
      </c>
      <c r="M38" s="34">
        <v>74</v>
      </c>
      <c r="N38" s="34">
        <v>60</v>
      </c>
      <c r="O38" s="34">
        <v>340</v>
      </c>
      <c r="P38" s="34">
        <v>68</v>
      </c>
      <c r="Q38" s="34">
        <v>31</v>
      </c>
      <c r="R38" s="34">
        <v>76</v>
      </c>
      <c r="S38" s="35">
        <v>130</v>
      </c>
      <c r="T38" s="34">
        <v>50</v>
      </c>
      <c r="U38" s="34">
        <v>80</v>
      </c>
      <c r="V38" s="34">
        <v>305</v>
      </c>
      <c r="W38" s="34">
        <v>82</v>
      </c>
      <c r="X38" s="34">
        <v>38</v>
      </c>
      <c r="Y38" s="34">
        <v>79</v>
      </c>
      <c r="Z38" s="35">
        <f t="shared" si="6"/>
        <v>120</v>
      </c>
      <c r="AA38" s="34">
        <v>56</v>
      </c>
      <c r="AB38" s="34">
        <v>64</v>
      </c>
      <c r="AC38" s="36">
        <f t="shared" si="7"/>
        <v>319</v>
      </c>
    </row>
    <row r="39" ht="18.75" spans="1:29">
      <c r="A39" s="14" t="s">
        <v>397</v>
      </c>
      <c r="B39" s="3">
        <v>48</v>
      </c>
      <c r="C39" s="3">
        <v>34</v>
      </c>
      <c r="D39" s="3">
        <v>67</v>
      </c>
      <c r="E39" s="3">
        <v>76</v>
      </c>
      <c r="F39" s="3">
        <v>52</v>
      </c>
      <c r="G39" s="3">
        <v>24</v>
      </c>
      <c r="H39" s="34">
        <f t="shared" si="5"/>
        <v>225</v>
      </c>
      <c r="I39" s="34">
        <v>44</v>
      </c>
      <c r="J39" s="34">
        <v>34</v>
      </c>
      <c r="K39" s="34">
        <v>59</v>
      </c>
      <c r="L39" s="34">
        <v>88</v>
      </c>
      <c r="M39" s="34">
        <v>40</v>
      </c>
      <c r="N39" s="34">
        <v>48</v>
      </c>
      <c r="O39" s="34">
        <v>225</v>
      </c>
      <c r="P39" s="34">
        <v>52</v>
      </c>
      <c r="Q39" s="34">
        <v>46</v>
      </c>
      <c r="R39" s="34">
        <v>51</v>
      </c>
      <c r="S39" s="35">
        <v>63</v>
      </c>
      <c r="T39" s="34">
        <v>35</v>
      </c>
      <c r="U39" s="34">
        <v>28</v>
      </c>
      <c r="V39" s="34">
        <v>212</v>
      </c>
      <c r="W39" s="34">
        <v>50</v>
      </c>
      <c r="X39" s="34">
        <v>30</v>
      </c>
      <c r="Y39" s="34">
        <v>62</v>
      </c>
      <c r="Z39" s="35">
        <f t="shared" si="6"/>
        <v>82</v>
      </c>
      <c r="AA39" s="34">
        <v>40</v>
      </c>
      <c r="AB39" s="34">
        <v>42</v>
      </c>
      <c r="AC39" s="36">
        <f t="shared" si="7"/>
        <v>224</v>
      </c>
    </row>
    <row r="40" ht="18.75" spans="1:29">
      <c r="A40" s="14" t="s">
        <v>398</v>
      </c>
      <c r="B40" s="3">
        <v>84</v>
      </c>
      <c r="C40" s="3">
        <v>79</v>
      </c>
      <c r="D40" s="3">
        <v>76</v>
      </c>
      <c r="E40" s="3">
        <v>64</v>
      </c>
      <c r="F40" s="3">
        <v>40</v>
      </c>
      <c r="G40" s="3">
        <v>24</v>
      </c>
      <c r="H40" s="34">
        <f t="shared" si="5"/>
        <v>303</v>
      </c>
      <c r="I40" s="34">
        <v>86</v>
      </c>
      <c r="J40" s="34">
        <v>79</v>
      </c>
      <c r="K40" s="34">
        <v>92</v>
      </c>
      <c r="L40" s="34">
        <v>108</v>
      </c>
      <c r="M40" s="34">
        <v>54</v>
      </c>
      <c r="N40" s="34">
        <v>54</v>
      </c>
      <c r="O40" s="34">
        <v>365</v>
      </c>
      <c r="P40" s="34">
        <v>98</v>
      </c>
      <c r="Q40" s="34">
        <v>90</v>
      </c>
      <c r="R40" s="34">
        <v>88</v>
      </c>
      <c r="S40" s="35">
        <v>133</v>
      </c>
      <c r="T40" s="34">
        <v>53</v>
      </c>
      <c r="U40" s="34">
        <v>80</v>
      </c>
      <c r="V40" s="34">
        <v>409</v>
      </c>
      <c r="W40" s="35" t="s">
        <v>50</v>
      </c>
      <c r="X40" s="35" t="s">
        <v>50</v>
      </c>
      <c r="Y40" s="35" t="s">
        <v>50</v>
      </c>
      <c r="Z40" s="35" t="s">
        <v>50</v>
      </c>
      <c r="AA40" s="35" t="s">
        <v>50</v>
      </c>
      <c r="AB40" s="35" t="s">
        <v>50</v>
      </c>
      <c r="AC40" s="36">
        <f t="shared" si="7"/>
        <v>0</v>
      </c>
    </row>
    <row r="41" ht="18.75" spans="1:29">
      <c r="A41" s="14" t="s">
        <v>399</v>
      </c>
      <c r="B41" s="3">
        <v>88</v>
      </c>
      <c r="C41" s="3">
        <v>64</v>
      </c>
      <c r="D41" s="3">
        <v>64</v>
      </c>
      <c r="E41" s="3">
        <v>70</v>
      </c>
      <c r="F41" s="3">
        <v>46</v>
      </c>
      <c r="G41" s="3">
        <v>24</v>
      </c>
      <c r="H41" s="34">
        <f t="shared" si="5"/>
        <v>286</v>
      </c>
      <c r="I41" s="34">
        <v>82</v>
      </c>
      <c r="J41" s="34">
        <v>79</v>
      </c>
      <c r="K41" s="34">
        <v>83</v>
      </c>
      <c r="L41" s="34">
        <v>138</v>
      </c>
      <c r="M41" s="34">
        <v>78</v>
      </c>
      <c r="N41" s="34">
        <v>60</v>
      </c>
      <c r="O41" s="34">
        <v>382</v>
      </c>
      <c r="P41" s="34">
        <v>84</v>
      </c>
      <c r="Q41" s="34">
        <v>77</v>
      </c>
      <c r="R41" s="34">
        <v>80</v>
      </c>
      <c r="S41" s="35">
        <v>116</v>
      </c>
      <c r="T41" s="34">
        <v>48</v>
      </c>
      <c r="U41" s="34">
        <v>68</v>
      </c>
      <c r="V41" s="34">
        <v>357</v>
      </c>
      <c r="W41" s="35" t="s">
        <v>50</v>
      </c>
      <c r="X41" s="35" t="s">
        <v>50</v>
      </c>
      <c r="Y41" s="35" t="s">
        <v>50</v>
      </c>
      <c r="Z41" s="35" t="s">
        <v>50</v>
      </c>
      <c r="AA41" s="35" t="s">
        <v>50</v>
      </c>
      <c r="AB41" s="35" t="s">
        <v>50</v>
      </c>
      <c r="AC41" s="36">
        <f t="shared" si="7"/>
        <v>0</v>
      </c>
    </row>
    <row r="42" ht="18.75" spans="1:29">
      <c r="A42" s="14" t="s">
        <v>400</v>
      </c>
      <c r="B42" s="3">
        <v>68</v>
      </c>
      <c r="C42" s="3">
        <v>76</v>
      </c>
      <c r="D42" s="3">
        <v>59</v>
      </c>
      <c r="E42" s="3">
        <v>76</v>
      </c>
      <c r="F42" s="3">
        <v>50</v>
      </c>
      <c r="G42" s="3">
        <v>26</v>
      </c>
      <c r="H42" s="34">
        <f t="shared" si="5"/>
        <v>279</v>
      </c>
      <c r="I42" s="34">
        <v>72</v>
      </c>
      <c r="J42" s="34">
        <v>76</v>
      </c>
      <c r="K42" s="34">
        <v>68</v>
      </c>
      <c r="L42" s="34">
        <v>106</v>
      </c>
      <c r="M42" s="34">
        <v>74</v>
      </c>
      <c r="N42" s="34">
        <v>32</v>
      </c>
      <c r="O42" s="34">
        <v>322</v>
      </c>
      <c r="P42" s="34">
        <v>64</v>
      </c>
      <c r="Q42" s="34">
        <v>68</v>
      </c>
      <c r="R42" s="34">
        <v>66</v>
      </c>
      <c r="S42" s="35">
        <v>103</v>
      </c>
      <c r="T42" s="34">
        <v>41</v>
      </c>
      <c r="U42" s="34">
        <v>62</v>
      </c>
      <c r="V42" s="34">
        <v>301</v>
      </c>
      <c r="W42" s="34">
        <v>80</v>
      </c>
      <c r="X42" s="34">
        <v>73</v>
      </c>
      <c r="Y42" s="34">
        <v>89</v>
      </c>
      <c r="Z42" s="35">
        <f t="shared" si="6"/>
        <v>108</v>
      </c>
      <c r="AA42" s="34">
        <v>48</v>
      </c>
      <c r="AB42" s="34">
        <v>60</v>
      </c>
      <c r="AC42" s="36">
        <f t="shared" si="7"/>
        <v>350</v>
      </c>
    </row>
    <row r="43" ht="18.75" spans="1:29">
      <c r="A43" s="14" t="s">
        <v>401</v>
      </c>
      <c r="B43" s="3">
        <v>84</v>
      </c>
      <c r="C43" s="3">
        <v>77</v>
      </c>
      <c r="D43" s="3">
        <v>49</v>
      </c>
      <c r="E43" s="3">
        <v>68</v>
      </c>
      <c r="F43" s="3">
        <v>40</v>
      </c>
      <c r="G43" s="3">
        <v>28</v>
      </c>
      <c r="H43" s="34">
        <f t="shared" si="5"/>
        <v>278</v>
      </c>
      <c r="I43" s="34">
        <v>84</v>
      </c>
      <c r="J43" s="34">
        <v>89</v>
      </c>
      <c r="K43" s="34">
        <v>88</v>
      </c>
      <c r="L43" s="34">
        <v>112</v>
      </c>
      <c r="M43" s="34">
        <v>64</v>
      </c>
      <c r="N43" s="34">
        <v>48</v>
      </c>
      <c r="O43" s="34">
        <v>373</v>
      </c>
      <c r="P43" s="34">
        <v>88</v>
      </c>
      <c r="Q43" s="34">
        <v>90</v>
      </c>
      <c r="R43" s="34">
        <v>86</v>
      </c>
      <c r="S43" s="35">
        <v>116</v>
      </c>
      <c r="T43" s="34">
        <v>50</v>
      </c>
      <c r="U43" s="34">
        <v>66</v>
      </c>
      <c r="V43" s="34">
        <v>380</v>
      </c>
      <c r="W43" s="34">
        <v>88</v>
      </c>
      <c r="X43" s="34">
        <v>92</v>
      </c>
      <c r="Y43" s="34">
        <v>89</v>
      </c>
      <c r="Z43" s="35">
        <f t="shared" si="6"/>
        <v>114</v>
      </c>
      <c r="AA43" s="34">
        <v>54</v>
      </c>
      <c r="AB43" s="34">
        <v>60</v>
      </c>
      <c r="AC43" s="36">
        <f t="shared" si="7"/>
        <v>383</v>
      </c>
    </row>
    <row r="44" ht="18.75" spans="1:29">
      <c r="A44" s="14" t="s">
        <v>402</v>
      </c>
      <c r="B44" s="3">
        <v>64</v>
      </c>
      <c r="C44" s="3">
        <v>56</v>
      </c>
      <c r="D44" s="3">
        <v>56</v>
      </c>
      <c r="E44" s="3">
        <v>66</v>
      </c>
      <c r="F44" s="3">
        <v>40</v>
      </c>
      <c r="G44" s="3">
        <v>26</v>
      </c>
      <c r="H44" s="34">
        <f t="shared" si="5"/>
        <v>242</v>
      </c>
      <c r="I44" s="34">
        <v>58</v>
      </c>
      <c r="J44" s="34">
        <v>56</v>
      </c>
      <c r="K44" s="34">
        <v>48</v>
      </c>
      <c r="L44" s="34">
        <v>90</v>
      </c>
      <c r="M44" s="34">
        <v>52</v>
      </c>
      <c r="N44" s="34">
        <v>38</v>
      </c>
      <c r="O44" s="34">
        <v>252</v>
      </c>
      <c r="P44" s="34">
        <v>68</v>
      </c>
      <c r="Q44" s="34">
        <v>60</v>
      </c>
      <c r="R44" s="34">
        <v>83</v>
      </c>
      <c r="S44" s="35">
        <v>93</v>
      </c>
      <c r="T44" s="34">
        <v>37</v>
      </c>
      <c r="U44" s="34">
        <v>56</v>
      </c>
      <c r="V44" s="34">
        <v>304</v>
      </c>
      <c r="W44" s="35" t="s">
        <v>50</v>
      </c>
      <c r="X44" s="35" t="s">
        <v>50</v>
      </c>
      <c r="Y44" s="35" t="s">
        <v>50</v>
      </c>
      <c r="Z44" s="35" t="s">
        <v>50</v>
      </c>
      <c r="AA44" s="35" t="s">
        <v>50</v>
      </c>
      <c r="AB44" s="35" t="s">
        <v>50</v>
      </c>
      <c r="AC44" s="36">
        <f t="shared" si="7"/>
        <v>0</v>
      </c>
    </row>
    <row r="45" ht="18.75" spans="1:29">
      <c r="A45" s="14" t="s">
        <v>403</v>
      </c>
      <c r="B45" s="3">
        <v>54</v>
      </c>
      <c r="C45" s="3">
        <v>47</v>
      </c>
      <c r="D45" s="3">
        <v>61</v>
      </c>
      <c r="E45" s="3">
        <v>64</v>
      </c>
      <c r="F45" s="3">
        <v>42</v>
      </c>
      <c r="G45" s="3">
        <v>22</v>
      </c>
      <c r="H45" s="34">
        <f t="shared" si="5"/>
        <v>226</v>
      </c>
      <c r="I45" s="34">
        <v>46</v>
      </c>
      <c r="J45" s="34">
        <v>69</v>
      </c>
      <c r="K45" s="34">
        <v>71</v>
      </c>
      <c r="L45" s="34">
        <v>100</v>
      </c>
      <c r="M45" s="34">
        <v>50</v>
      </c>
      <c r="N45" s="34">
        <v>50</v>
      </c>
      <c r="O45" s="34">
        <v>286</v>
      </c>
      <c r="P45" s="35" t="s">
        <v>50</v>
      </c>
      <c r="Q45" s="35" t="s">
        <v>50</v>
      </c>
      <c r="R45" s="35" t="s">
        <v>50</v>
      </c>
      <c r="S45" s="35" t="s">
        <v>50</v>
      </c>
      <c r="T45" s="35" t="s">
        <v>50</v>
      </c>
      <c r="U45" s="35" t="s">
        <v>50</v>
      </c>
      <c r="V45" s="35" t="s">
        <v>50</v>
      </c>
      <c r="W45" s="35">
        <v>86</v>
      </c>
      <c r="X45" s="35">
        <v>74</v>
      </c>
      <c r="Y45" s="35">
        <v>56</v>
      </c>
      <c r="Z45" s="35">
        <f t="shared" si="6"/>
        <v>102</v>
      </c>
      <c r="AA45" s="35">
        <v>48</v>
      </c>
      <c r="AB45" s="35">
        <v>54</v>
      </c>
      <c r="AC45" s="36">
        <f t="shared" si="7"/>
        <v>318</v>
      </c>
    </row>
    <row r="46" ht="18.75" spans="1:29">
      <c r="A46" s="14" t="s">
        <v>404</v>
      </c>
      <c r="B46" s="3">
        <v>48</v>
      </c>
      <c r="C46" s="3">
        <v>44</v>
      </c>
      <c r="D46" s="3">
        <v>50</v>
      </c>
      <c r="E46" s="3">
        <v>88</v>
      </c>
      <c r="F46" s="3">
        <v>58</v>
      </c>
      <c r="G46" s="3">
        <v>30</v>
      </c>
      <c r="H46" s="34">
        <f t="shared" si="5"/>
        <v>230</v>
      </c>
      <c r="I46" s="34">
        <v>62</v>
      </c>
      <c r="J46" s="34">
        <v>67</v>
      </c>
      <c r="K46" s="34">
        <v>71</v>
      </c>
      <c r="L46" s="34">
        <v>94</v>
      </c>
      <c r="M46" s="34">
        <v>60</v>
      </c>
      <c r="N46" s="34">
        <v>34</v>
      </c>
      <c r="O46" s="34">
        <v>294</v>
      </c>
      <c r="P46" s="35" t="s">
        <v>50</v>
      </c>
      <c r="Q46" s="35" t="s">
        <v>50</v>
      </c>
      <c r="R46" s="35" t="s">
        <v>50</v>
      </c>
      <c r="S46" s="35" t="s">
        <v>50</v>
      </c>
      <c r="T46" s="35" t="s">
        <v>50</v>
      </c>
      <c r="U46" s="35" t="s">
        <v>50</v>
      </c>
      <c r="V46" s="35" t="s">
        <v>50</v>
      </c>
      <c r="W46" s="35">
        <v>64</v>
      </c>
      <c r="X46" s="35">
        <v>60</v>
      </c>
      <c r="Y46" s="35">
        <v>65</v>
      </c>
      <c r="Z46" s="35">
        <f t="shared" si="6"/>
        <v>52</v>
      </c>
      <c r="AA46" s="35">
        <v>30</v>
      </c>
      <c r="AB46" s="35">
        <v>22</v>
      </c>
      <c r="AC46" s="36">
        <f t="shared" si="7"/>
        <v>241</v>
      </c>
    </row>
    <row r="47" ht="18.75" spans="1:29">
      <c r="A47" s="14" t="s">
        <v>405</v>
      </c>
      <c r="B47" s="3">
        <v>82</v>
      </c>
      <c r="C47" s="3">
        <v>75</v>
      </c>
      <c r="D47" s="3">
        <v>65</v>
      </c>
      <c r="E47" s="3">
        <v>88</v>
      </c>
      <c r="F47" s="3">
        <v>50</v>
      </c>
      <c r="G47" s="3">
        <v>38</v>
      </c>
      <c r="H47" s="34">
        <f t="shared" si="5"/>
        <v>310</v>
      </c>
      <c r="I47" s="34">
        <v>72</v>
      </c>
      <c r="J47" s="34">
        <v>64</v>
      </c>
      <c r="K47" s="34">
        <v>65</v>
      </c>
      <c r="L47" s="34">
        <v>114</v>
      </c>
      <c r="M47" s="34">
        <v>60</v>
      </c>
      <c r="N47" s="34">
        <v>54</v>
      </c>
      <c r="O47" s="34">
        <v>315</v>
      </c>
      <c r="P47" s="34">
        <v>74</v>
      </c>
      <c r="Q47" s="34">
        <v>56</v>
      </c>
      <c r="R47" s="34">
        <v>83</v>
      </c>
      <c r="S47" s="35">
        <v>90</v>
      </c>
      <c r="T47" s="34">
        <v>40</v>
      </c>
      <c r="U47" s="34">
        <v>50</v>
      </c>
      <c r="V47" s="34">
        <v>303</v>
      </c>
      <c r="W47" s="34">
        <v>80</v>
      </c>
      <c r="X47" s="34">
        <v>66</v>
      </c>
      <c r="Y47" s="34">
        <v>71</v>
      </c>
      <c r="Z47" s="35">
        <f t="shared" si="6"/>
        <v>90</v>
      </c>
      <c r="AA47" s="34">
        <v>38</v>
      </c>
      <c r="AB47" s="34">
        <v>52</v>
      </c>
      <c r="AC47" s="36">
        <f t="shared" si="7"/>
        <v>307</v>
      </c>
    </row>
    <row r="48" ht="18.75" spans="1:29">
      <c r="A48" s="14" t="s">
        <v>406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4">
        <v>80</v>
      </c>
      <c r="Q48" s="34">
        <v>55</v>
      </c>
      <c r="R48" s="34">
        <v>78</v>
      </c>
      <c r="S48" s="35">
        <v>118</v>
      </c>
      <c r="T48" s="34">
        <v>54</v>
      </c>
      <c r="U48" s="34">
        <v>64</v>
      </c>
      <c r="V48" s="34">
        <v>331</v>
      </c>
      <c r="W48" s="34">
        <v>70</v>
      </c>
      <c r="X48" s="34">
        <v>63</v>
      </c>
      <c r="Y48" s="34">
        <v>75</v>
      </c>
      <c r="Z48" s="35">
        <f t="shared" si="6"/>
        <v>114</v>
      </c>
      <c r="AA48" s="34">
        <v>60</v>
      </c>
      <c r="AB48" s="34">
        <v>54</v>
      </c>
      <c r="AC48" s="36">
        <f t="shared" si="7"/>
        <v>322</v>
      </c>
    </row>
    <row r="49" ht="18.75" spans="1:29">
      <c r="A49" s="14" t="s">
        <v>407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4">
        <v>86</v>
      </c>
      <c r="Q49" s="34">
        <v>52</v>
      </c>
      <c r="R49" s="34">
        <v>80</v>
      </c>
      <c r="S49" s="35">
        <v>119</v>
      </c>
      <c r="T49" s="34">
        <v>51</v>
      </c>
      <c r="U49" s="34">
        <v>68</v>
      </c>
      <c r="V49" s="34">
        <v>337</v>
      </c>
      <c r="W49" s="34">
        <v>84</v>
      </c>
      <c r="X49" s="34">
        <v>57</v>
      </c>
      <c r="Y49" s="34">
        <v>92</v>
      </c>
      <c r="Z49" s="35">
        <f t="shared" si="6"/>
        <v>103</v>
      </c>
      <c r="AA49" s="34">
        <v>49</v>
      </c>
      <c r="AB49" s="34">
        <v>54</v>
      </c>
      <c r="AC49" s="36">
        <f t="shared" si="7"/>
        <v>336</v>
      </c>
    </row>
    <row r="50" ht="14.25" spans="1:29">
      <c r="A50" s="38" t="s">
        <v>408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>
        <v>92</v>
      </c>
      <c r="X50" s="39">
        <v>66</v>
      </c>
      <c r="Y50" s="39">
        <v>84</v>
      </c>
      <c r="Z50" s="40">
        <f t="shared" si="6"/>
        <v>111</v>
      </c>
      <c r="AA50" s="39">
        <v>53</v>
      </c>
      <c r="AB50" s="39">
        <v>58</v>
      </c>
      <c r="AC50" s="41">
        <f t="shared" si="7"/>
        <v>353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"/>
  <sheetViews>
    <sheetView zoomScale="85" zoomScaleNormal="85" workbookViewId="0">
      <pane xSplit="1" topLeftCell="B1" activePane="topRight" state="frozen"/>
      <selection/>
      <selection pane="topRight" activeCell="H11" sqref="H11"/>
    </sheetView>
  </sheetViews>
  <sheetFormatPr defaultColWidth="9.64166666666667" defaultRowHeight="13.5"/>
  <cols>
    <col min="1" max="1" width="7.375" customWidth="1"/>
    <col min="2" max="3" width="5.125" customWidth="1"/>
    <col min="4" max="4" width="12.875" customWidth="1"/>
    <col min="5" max="6" width="8.875" customWidth="1"/>
    <col min="7" max="7" width="5.125" customWidth="1"/>
    <col min="8" max="8" width="5.375" customWidth="1"/>
    <col min="9" max="10" width="5.125" customWidth="1"/>
    <col min="11" max="11" width="12.875" customWidth="1"/>
    <col min="12" max="13" width="8.875" customWidth="1"/>
    <col min="14" max="14" width="5.125" customWidth="1"/>
    <col min="15" max="15" width="5.375" customWidth="1"/>
    <col min="16" max="17" width="12.625" customWidth="1"/>
    <col min="18" max="18" width="12.875" customWidth="1"/>
    <col min="19" max="19" width="12.625" customWidth="1"/>
    <col min="20" max="20" width="8.875" customWidth="1"/>
    <col min="21" max="22" width="12.625" customWidth="1"/>
    <col min="23" max="24" width="5.125" customWidth="1"/>
    <col min="25" max="25" width="12.875" customWidth="1"/>
    <col min="26" max="27" width="8.875" customWidth="1"/>
    <col min="28" max="29" width="5.125" customWidth="1"/>
  </cols>
  <sheetData>
    <row r="1" ht="25.5" spans="1:29">
      <c r="A1" s="15"/>
      <c r="B1" s="16" t="s">
        <v>0</v>
      </c>
      <c r="C1" s="2"/>
      <c r="D1" s="2"/>
      <c r="E1" s="2"/>
      <c r="F1" s="2"/>
      <c r="G1" s="2"/>
      <c r="H1" s="2"/>
      <c r="I1" s="16" t="s">
        <v>1</v>
      </c>
      <c r="J1" s="2"/>
      <c r="K1" s="2"/>
      <c r="L1" s="2"/>
      <c r="M1" s="2"/>
      <c r="N1" s="2"/>
      <c r="O1" s="2"/>
      <c r="P1" s="16" t="s">
        <v>2</v>
      </c>
      <c r="Q1" s="2"/>
      <c r="R1" s="2"/>
      <c r="S1" s="2"/>
      <c r="T1" s="2"/>
      <c r="U1" s="2"/>
      <c r="V1" s="2"/>
      <c r="W1" s="16" t="s">
        <v>3</v>
      </c>
      <c r="X1" s="2"/>
      <c r="Y1" s="2"/>
      <c r="Z1" s="2"/>
      <c r="AA1" s="2"/>
      <c r="AB1" s="2"/>
      <c r="AC1" s="2"/>
    </row>
    <row r="2" ht="18.75" spans="1:29">
      <c r="A2" s="14" t="s">
        <v>4</v>
      </c>
      <c r="B2" s="16" t="s">
        <v>5</v>
      </c>
      <c r="C2" s="16" t="s">
        <v>6</v>
      </c>
      <c r="D2" s="16" t="s">
        <v>7</v>
      </c>
      <c r="E2" s="16" t="s">
        <v>10</v>
      </c>
      <c r="F2" s="16" t="s">
        <v>333</v>
      </c>
      <c r="G2" s="16" t="s">
        <v>359</v>
      </c>
      <c r="H2" s="16" t="s">
        <v>11</v>
      </c>
      <c r="I2" s="16" t="s">
        <v>5</v>
      </c>
      <c r="J2" s="16" t="s">
        <v>6</v>
      </c>
      <c r="K2" s="16" t="s">
        <v>7</v>
      </c>
      <c r="L2" s="16" t="s">
        <v>10</v>
      </c>
      <c r="M2" s="16" t="s">
        <v>333</v>
      </c>
      <c r="N2" s="16" t="s">
        <v>359</v>
      </c>
      <c r="O2" s="16" t="s">
        <v>11</v>
      </c>
      <c r="P2" s="16" t="s">
        <v>5</v>
      </c>
      <c r="Q2" s="16" t="s">
        <v>6</v>
      </c>
      <c r="R2" s="16" t="s">
        <v>7</v>
      </c>
      <c r="S2" s="16" t="s">
        <v>10</v>
      </c>
      <c r="T2" s="16" t="s">
        <v>333</v>
      </c>
      <c r="U2" s="16" t="s">
        <v>359</v>
      </c>
      <c r="V2" s="16" t="s">
        <v>11</v>
      </c>
      <c r="W2" s="16" t="s">
        <v>5</v>
      </c>
      <c r="X2" s="16" t="s">
        <v>6</v>
      </c>
      <c r="Y2" s="16" t="s">
        <v>7</v>
      </c>
      <c r="Z2" s="16" t="s">
        <v>10</v>
      </c>
      <c r="AA2" s="16" t="s">
        <v>333</v>
      </c>
      <c r="AB2" s="16" t="s">
        <v>359</v>
      </c>
      <c r="AC2" s="16" t="s">
        <v>11</v>
      </c>
    </row>
    <row r="3" spans="1:29">
      <c r="A3" s="2" t="s">
        <v>409</v>
      </c>
      <c r="B3" s="2">
        <v>72</v>
      </c>
      <c r="C3" s="2">
        <v>72</v>
      </c>
      <c r="D3" s="2">
        <v>69</v>
      </c>
      <c r="E3" s="2">
        <f>F3+G3</f>
        <v>102</v>
      </c>
      <c r="F3" s="2">
        <v>50</v>
      </c>
      <c r="G3" s="2">
        <v>52</v>
      </c>
      <c r="H3" s="2">
        <f>B3+C3+D3+E3</f>
        <v>315</v>
      </c>
      <c r="I3" s="2">
        <v>62</v>
      </c>
      <c r="J3" s="2">
        <v>67</v>
      </c>
      <c r="K3" s="2">
        <v>71</v>
      </c>
      <c r="L3" s="2">
        <v>84</v>
      </c>
      <c r="M3" s="2">
        <v>54</v>
      </c>
      <c r="N3" s="2">
        <v>30</v>
      </c>
      <c r="O3" s="2">
        <f>I3+J3+K3+L3</f>
        <v>284</v>
      </c>
      <c r="P3" s="2">
        <v>76</v>
      </c>
      <c r="Q3" s="2">
        <v>53</v>
      </c>
      <c r="R3" s="2">
        <v>74</v>
      </c>
      <c r="S3" s="2">
        <f t="shared" ref="S3:S29" si="0">U3+T3</f>
        <v>87</v>
      </c>
      <c r="T3" s="2">
        <v>48</v>
      </c>
      <c r="U3" s="2">
        <v>39</v>
      </c>
      <c r="V3" s="2">
        <f t="shared" ref="V3:V29" si="1">S3+R3+Q3+P3</f>
        <v>290</v>
      </c>
      <c r="W3" s="16" t="s">
        <v>50</v>
      </c>
      <c r="X3" s="16" t="s">
        <v>50</v>
      </c>
      <c r="Y3" s="16" t="s">
        <v>50</v>
      </c>
      <c r="Z3" s="16" t="s">
        <v>50</v>
      </c>
      <c r="AA3" s="16" t="s">
        <v>50</v>
      </c>
      <c r="AB3" s="16" t="s">
        <v>50</v>
      </c>
      <c r="AC3" s="16" t="s">
        <v>14</v>
      </c>
    </row>
    <row r="4" spans="1:29">
      <c r="A4" s="2" t="s">
        <v>410</v>
      </c>
      <c r="B4" s="2">
        <v>70</v>
      </c>
      <c r="C4" s="2">
        <v>56</v>
      </c>
      <c r="D4" s="2">
        <v>59</v>
      </c>
      <c r="E4" s="2">
        <f t="shared" ref="E4:E49" si="2">F4+G4</f>
        <v>118</v>
      </c>
      <c r="F4" s="2">
        <v>68</v>
      </c>
      <c r="G4" s="2">
        <v>50</v>
      </c>
      <c r="H4" s="2">
        <f t="shared" ref="H4:H49" si="3">B4+C4+D4+E4</f>
        <v>303</v>
      </c>
      <c r="I4" s="2">
        <v>76</v>
      </c>
      <c r="J4" s="2">
        <v>48</v>
      </c>
      <c r="K4" s="2">
        <v>71</v>
      </c>
      <c r="L4" s="2">
        <v>98</v>
      </c>
      <c r="M4" s="2">
        <v>54</v>
      </c>
      <c r="N4" s="2">
        <v>44</v>
      </c>
      <c r="O4" s="2">
        <f t="shared" ref="O4:O49" si="4">I4+J4+K4+L4</f>
        <v>293</v>
      </c>
      <c r="P4" s="2">
        <v>76</v>
      </c>
      <c r="Q4" s="2">
        <v>68</v>
      </c>
      <c r="R4" s="2">
        <v>80</v>
      </c>
      <c r="S4" s="2">
        <f t="shared" si="0"/>
        <v>115</v>
      </c>
      <c r="T4" s="2">
        <v>68</v>
      </c>
      <c r="U4" s="2">
        <v>47</v>
      </c>
      <c r="V4" s="2">
        <f t="shared" si="1"/>
        <v>339</v>
      </c>
      <c r="W4" s="2">
        <v>72</v>
      </c>
      <c r="X4" s="2">
        <v>72</v>
      </c>
      <c r="Y4" s="2">
        <v>84</v>
      </c>
      <c r="Z4" s="2">
        <f t="shared" ref="Z4:Z48" si="5">AA4+AB4</f>
        <v>102</v>
      </c>
      <c r="AA4" s="2">
        <v>56</v>
      </c>
      <c r="AB4" s="2">
        <v>46</v>
      </c>
      <c r="AC4" s="2">
        <f>W4+X4+Y4+Z4</f>
        <v>330</v>
      </c>
    </row>
    <row r="5" spans="1:29">
      <c r="A5" s="2" t="s">
        <v>411</v>
      </c>
      <c r="B5" s="2">
        <v>80</v>
      </c>
      <c r="C5" s="2">
        <v>78</v>
      </c>
      <c r="D5" s="2">
        <v>79</v>
      </c>
      <c r="E5" s="2">
        <f t="shared" si="2"/>
        <v>126</v>
      </c>
      <c r="F5" s="2">
        <v>66</v>
      </c>
      <c r="G5" s="2">
        <v>60</v>
      </c>
      <c r="H5" s="2">
        <f t="shared" si="3"/>
        <v>363</v>
      </c>
      <c r="I5" s="2">
        <v>82</v>
      </c>
      <c r="J5" s="2">
        <v>80</v>
      </c>
      <c r="K5" s="2">
        <v>85</v>
      </c>
      <c r="L5" s="2">
        <v>110</v>
      </c>
      <c r="M5" s="2">
        <v>58</v>
      </c>
      <c r="N5" s="2">
        <v>52</v>
      </c>
      <c r="O5" s="2">
        <f t="shared" si="4"/>
        <v>357</v>
      </c>
      <c r="P5" s="16" t="s">
        <v>14</v>
      </c>
      <c r="Q5" s="16" t="s">
        <v>14</v>
      </c>
      <c r="R5" s="16" t="s">
        <v>14</v>
      </c>
      <c r="S5" s="16" t="s">
        <v>14</v>
      </c>
      <c r="T5" s="16" t="s">
        <v>14</v>
      </c>
      <c r="U5" s="16" t="s">
        <v>14</v>
      </c>
      <c r="V5" s="16" t="s">
        <v>14</v>
      </c>
      <c r="W5" s="16">
        <v>90</v>
      </c>
      <c r="X5" s="16">
        <v>92</v>
      </c>
      <c r="Y5" s="16">
        <v>91</v>
      </c>
      <c r="Z5" s="2">
        <f t="shared" si="5"/>
        <v>122</v>
      </c>
      <c r="AA5" s="16">
        <v>66</v>
      </c>
      <c r="AB5" s="16">
        <v>56</v>
      </c>
      <c r="AC5" s="2">
        <f t="shared" ref="AC5:AC48" si="6">W5+X5+Y5+Z5</f>
        <v>395</v>
      </c>
    </row>
    <row r="6" spans="1:29">
      <c r="A6" s="2" t="s">
        <v>412</v>
      </c>
      <c r="B6" s="2">
        <v>80</v>
      </c>
      <c r="C6" s="2">
        <v>58</v>
      </c>
      <c r="D6" s="2">
        <v>71</v>
      </c>
      <c r="E6" s="2">
        <f t="shared" si="2"/>
        <v>114</v>
      </c>
      <c r="F6" s="2">
        <v>58</v>
      </c>
      <c r="G6" s="2">
        <v>56</v>
      </c>
      <c r="H6" s="2">
        <f t="shared" si="3"/>
        <v>323</v>
      </c>
      <c r="I6" s="2">
        <v>84</v>
      </c>
      <c r="J6" s="2">
        <v>61</v>
      </c>
      <c r="K6" s="2">
        <v>78</v>
      </c>
      <c r="L6" s="2">
        <v>92</v>
      </c>
      <c r="M6" s="2">
        <v>50</v>
      </c>
      <c r="N6" s="2">
        <v>42</v>
      </c>
      <c r="O6" s="2">
        <f t="shared" si="4"/>
        <v>315</v>
      </c>
      <c r="P6" s="2">
        <v>74</v>
      </c>
      <c r="Q6" s="2">
        <v>61</v>
      </c>
      <c r="R6" s="2">
        <v>74</v>
      </c>
      <c r="S6" s="2">
        <f t="shared" si="0"/>
        <v>100</v>
      </c>
      <c r="T6" s="2">
        <v>52</v>
      </c>
      <c r="U6" s="2">
        <v>48</v>
      </c>
      <c r="V6" s="2">
        <f t="shared" si="1"/>
        <v>309</v>
      </c>
      <c r="W6" s="2">
        <v>92</v>
      </c>
      <c r="X6" s="2">
        <v>49</v>
      </c>
      <c r="Y6" s="2">
        <v>74</v>
      </c>
      <c r="Z6" s="2">
        <f t="shared" si="5"/>
        <v>112</v>
      </c>
      <c r="AA6" s="2">
        <v>58</v>
      </c>
      <c r="AB6" s="2">
        <v>54</v>
      </c>
      <c r="AC6" s="2">
        <f t="shared" si="6"/>
        <v>327</v>
      </c>
    </row>
    <row r="7" spans="1:29">
      <c r="A7" s="2" t="s">
        <v>413</v>
      </c>
      <c r="B7" s="2">
        <v>84</v>
      </c>
      <c r="C7" s="2">
        <v>94</v>
      </c>
      <c r="D7" s="2">
        <v>73</v>
      </c>
      <c r="E7" s="2">
        <f t="shared" si="2"/>
        <v>114</v>
      </c>
      <c r="F7" s="2">
        <v>62</v>
      </c>
      <c r="G7" s="2">
        <v>52</v>
      </c>
      <c r="H7" s="2">
        <f t="shared" si="3"/>
        <v>365</v>
      </c>
      <c r="I7" s="2">
        <v>68</v>
      </c>
      <c r="J7" s="2">
        <v>90</v>
      </c>
      <c r="K7" s="2">
        <v>62</v>
      </c>
      <c r="L7" s="2">
        <v>114</v>
      </c>
      <c r="M7" s="2">
        <v>62</v>
      </c>
      <c r="N7" s="2">
        <v>52</v>
      </c>
      <c r="O7" s="2">
        <f t="shared" si="4"/>
        <v>334</v>
      </c>
      <c r="P7" s="2">
        <v>76</v>
      </c>
      <c r="Q7" s="2">
        <v>80</v>
      </c>
      <c r="R7" s="2">
        <v>86</v>
      </c>
      <c r="S7" s="2">
        <f t="shared" si="0"/>
        <v>123</v>
      </c>
      <c r="T7" s="2">
        <v>68</v>
      </c>
      <c r="U7" s="2">
        <v>55</v>
      </c>
      <c r="V7" s="2">
        <f t="shared" si="1"/>
        <v>365</v>
      </c>
      <c r="W7" s="16" t="s">
        <v>14</v>
      </c>
      <c r="X7" s="16" t="s">
        <v>14</v>
      </c>
      <c r="Y7" s="16" t="s">
        <v>14</v>
      </c>
      <c r="Z7" s="16" t="s">
        <v>14</v>
      </c>
      <c r="AA7" s="16" t="s">
        <v>14</v>
      </c>
      <c r="AB7" s="16" t="s">
        <v>14</v>
      </c>
      <c r="AC7" s="16" t="s">
        <v>14</v>
      </c>
    </row>
    <row r="8" spans="1:29">
      <c r="A8" s="2" t="s">
        <v>414</v>
      </c>
      <c r="B8" s="2">
        <v>62</v>
      </c>
      <c r="C8" s="2">
        <v>79</v>
      </c>
      <c r="D8" s="2">
        <v>91</v>
      </c>
      <c r="E8" s="2">
        <f t="shared" si="2"/>
        <v>104</v>
      </c>
      <c r="F8" s="2">
        <v>62</v>
      </c>
      <c r="G8" s="2">
        <v>42</v>
      </c>
      <c r="H8" s="2">
        <f t="shared" si="3"/>
        <v>336</v>
      </c>
      <c r="I8" s="2">
        <v>64</v>
      </c>
      <c r="J8" s="2">
        <v>77</v>
      </c>
      <c r="K8" s="2">
        <v>88</v>
      </c>
      <c r="L8" s="2">
        <v>136</v>
      </c>
      <c r="M8" s="2">
        <v>82</v>
      </c>
      <c r="N8" s="2">
        <v>54</v>
      </c>
      <c r="O8" s="2">
        <f t="shared" si="4"/>
        <v>365</v>
      </c>
      <c r="P8" s="16" t="s">
        <v>14</v>
      </c>
      <c r="Q8" s="16" t="s">
        <v>14</v>
      </c>
      <c r="R8" s="16" t="s">
        <v>14</v>
      </c>
      <c r="S8" s="16" t="s">
        <v>14</v>
      </c>
      <c r="T8" s="16" t="s">
        <v>14</v>
      </c>
      <c r="U8" s="16" t="s">
        <v>14</v>
      </c>
      <c r="V8" s="16" t="s">
        <v>14</v>
      </c>
      <c r="W8" s="16">
        <v>92</v>
      </c>
      <c r="X8" s="16">
        <v>84</v>
      </c>
      <c r="Y8" s="16">
        <v>80</v>
      </c>
      <c r="Z8" s="2">
        <f t="shared" si="5"/>
        <v>107</v>
      </c>
      <c r="AA8" s="16">
        <v>56</v>
      </c>
      <c r="AB8" s="16">
        <v>51</v>
      </c>
      <c r="AC8" s="2">
        <f t="shared" si="6"/>
        <v>363</v>
      </c>
    </row>
    <row r="9" spans="1:29">
      <c r="A9" s="2" t="s">
        <v>415</v>
      </c>
      <c r="B9" s="2">
        <v>92</v>
      </c>
      <c r="C9" s="2">
        <v>96</v>
      </c>
      <c r="D9" s="2">
        <v>80</v>
      </c>
      <c r="E9" s="2">
        <f t="shared" si="2"/>
        <v>84</v>
      </c>
      <c r="F9" s="2">
        <v>52</v>
      </c>
      <c r="G9" s="2">
        <v>32</v>
      </c>
      <c r="H9" s="2">
        <f t="shared" si="3"/>
        <v>352</v>
      </c>
      <c r="I9" s="2">
        <v>86</v>
      </c>
      <c r="J9" s="2">
        <v>91</v>
      </c>
      <c r="K9" s="2">
        <v>88</v>
      </c>
      <c r="L9" s="2">
        <v>92</v>
      </c>
      <c r="M9" s="2">
        <v>44</v>
      </c>
      <c r="N9" s="2">
        <v>48</v>
      </c>
      <c r="O9" s="2">
        <f t="shared" si="4"/>
        <v>357</v>
      </c>
      <c r="P9" s="16" t="s">
        <v>14</v>
      </c>
      <c r="Q9" s="16" t="s">
        <v>14</v>
      </c>
      <c r="R9" s="16" t="s">
        <v>14</v>
      </c>
      <c r="S9" s="16" t="s">
        <v>14</v>
      </c>
      <c r="T9" s="16" t="s">
        <v>14</v>
      </c>
      <c r="U9" s="16" t="s">
        <v>14</v>
      </c>
      <c r="V9" s="16" t="s">
        <v>14</v>
      </c>
      <c r="W9" s="16">
        <v>90</v>
      </c>
      <c r="X9" s="16">
        <v>90</v>
      </c>
      <c r="Y9" s="16">
        <v>86</v>
      </c>
      <c r="Z9" s="2">
        <f t="shared" si="5"/>
        <v>116</v>
      </c>
      <c r="AA9" s="16">
        <v>70</v>
      </c>
      <c r="AB9" s="16">
        <v>46</v>
      </c>
      <c r="AC9" s="2">
        <f t="shared" si="6"/>
        <v>382</v>
      </c>
    </row>
    <row r="10" spans="1:29">
      <c r="A10" s="2" t="s">
        <v>416</v>
      </c>
      <c r="B10" s="2">
        <v>88</v>
      </c>
      <c r="C10" s="2">
        <v>91</v>
      </c>
      <c r="D10" s="2">
        <v>79</v>
      </c>
      <c r="E10" s="2">
        <f t="shared" si="2"/>
        <v>114</v>
      </c>
      <c r="F10" s="2">
        <v>64</v>
      </c>
      <c r="G10" s="2">
        <v>50</v>
      </c>
      <c r="H10" s="2">
        <f t="shared" si="3"/>
        <v>372</v>
      </c>
      <c r="I10" s="2">
        <v>86</v>
      </c>
      <c r="J10" s="2">
        <v>96</v>
      </c>
      <c r="K10" s="2">
        <v>79</v>
      </c>
      <c r="L10" s="2">
        <v>122</v>
      </c>
      <c r="M10" s="2">
        <v>74</v>
      </c>
      <c r="N10" s="2">
        <v>48</v>
      </c>
      <c r="O10" s="2">
        <f t="shared" si="4"/>
        <v>383</v>
      </c>
      <c r="P10" s="16" t="s">
        <v>14</v>
      </c>
      <c r="Q10" s="16" t="s">
        <v>14</v>
      </c>
      <c r="R10" s="16" t="s">
        <v>14</v>
      </c>
      <c r="S10" s="16" t="s">
        <v>14</v>
      </c>
      <c r="T10" s="16" t="s">
        <v>14</v>
      </c>
      <c r="U10" s="16" t="s">
        <v>14</v>
      </c>
      <c r="V10" s="16" t="s">
        <v>14</v>
      </c>
      <c r="W10" s="16">
        <v>92</v>
      </c>
      <c r="X10" s="16">
        <v>100</v>
      </c>
      <c r="Y10" s="16">
        <v>81</v>
      </c>
      <c r="Z10" s="2">
        <f t="shared" si="5"/>
        <v>118</v>
      </c>
      <c r="AA10" s="16">
        <v>70</v>
      </c>
      <c r="AB10" s="16">
        <v>48</v>
      </c>
      <c r="AC10" s="2">
        <f t="shared" si="6"/>
        <v>391</v>
      </c>
    </row>
    <row r="11" spans="1:29">
      <c r="A11" s="2" t="s">
        <v>417</v>
      </c>
      <c r="B11" s="2">
        <v>70</v>
      </c>
      <c r="C11" s="2">
        <v>66</v>
      </c>
      <c r="D11" s="2">
        <v>74</v>
      </c>
      <c r="E11" s="2">
        <f t="shared" si="2"/>
        <v>66</v>
      </c>
      <c r="F11" s="2">
        <v>44</v>
      </c>
      <c r="G11" s="2">
        <v>22</v>
      </c>
      <c r="H11" s="2">
        <f t="shared" si="3"/>
        <v>276</v>
      </c>
      <c r="I11" s="2">
        <v>62</v>
      </c>
      <c r="J11" s="2">
        <v>70</v>
      </c>
      <c r="K11" s="2">
        <v>70</v>
      </c>
      <c r="L11" s="2">
        <v>110</v>
      </c>
      <c r="M11" s="2">
        <v>58</v>
      </c>
      <c r="N11" s="2">
        <v>52</v>
      </c>
      <c r="O11" s="2">
        <f t="shared" si="4"/>
        <v>312</v>
      </c>
      <c r="P11" s="2">
        <v>78</v>
      </c>
      <c r="Q11" s="2">
        <v>63</v>
      </c>
      <c r="R11" s="2">
        <v>74</v>
      </c>
      <c r="S11" s="2">
        <f t="shared" si="0"/>
        <v>115</v>
      </c>
      <c r="T11" s="2">
        <v>70</v>
      </c>
      <c r="U11" s="2">
        <v>45</v>
      </c>
      <c r="V11" s="2">
        <f t="shared" si="1"/>
        <v>330</v>
      </c>
      <c r="W11" s="16" t="s">
        <v>14</v>
      </c>
      <c r="X11" s="16" t="s">
        <v>14</v>
      </c>
      <c r="Y11" s="16" t="s">
        <v>14</v>
      </c>
      <c r="Z11" s="16" t="s">
        <v>14</v>
      </c>
      <c r="AA11" s="16" t="s">
        <v>14</v>
      </c>
      <c r="AB11" s="16" t="s">
        <v>14</v>
      </c>
      <c r="AC11" s="16" t="s">
        <v>14</v>
      </c>
    </row>
    <row r="12" spans="1:29">
      <c r="A12" s="2" t="s">
        <v>418</v>
      </c>
      <c r="B12" s="2">
        <v>92</v>
      </c>
      <c r="C12" s="2">
        <v>72</v>
      </c>
      <c r="D12" s="2">
        <v>62</v>
      </c>
      <c r="E12" s="2">
        <f t="shared" si="2"/>
        <v>122</v>
      </c>
      <c r="F12" s="2">
        <v>72</v>
      </c>
      <c r="G12" s="2">
        <v>50</v>
      </c>
      <c r="H12" s="2">
        <f t="shared" si="3"/>
        <v>348</v>
      </c>
      <c r="I12" s="2">
        <v>76</v>
      </c>
      <c r="J12" s="2">
        <v>78</v>
      </c>
      <c r="K12" s="2">
        <v>79</v>
      </c>
      <c r="L12" s="2">
        <v>130</v>
      </c>
      <c r="M12" s="2">
        <v>70</v>
      </c>
      <c r="N12" s="2">
        <v>60</v>
      </c>
      <c r="O12" s="2">
        <f t="shared" si="4"/>
        <v>363</v>
      </c>
      <c r="P12" s="2">
        <v>81</v>
      </c>
      <c r="Q12" s="2">
        <v>68</v>
      </c>
      <c r="R12" s="2">
        <v>89</v>
      </c>
      <c r="S12" s="2">
        <f t="shared" si="0"/>
        <v>122</v>
      </c>
      <c r="T12" s="2">
        <v>68</v>
      </c>
      <c r="U12" s="2">
        <v>54</v>
      </c>
      <c r="V12" s="2">
        <f t="shared" si="1"/>
        <v>360</v>
      </c>
      <c r="W12" s="2">
        <v>90</v>
      </c>
      <c r="X12" s="2">
        <v>69</v>
      </c>
      <c r="Y12" s="2">
        <v>92</v>
      </c>
      <c r="Z12" s="2">
        <f t="shared" si="5"/>
        <v>118</v>
      </c>
      <c r="AA12" s="2">
        <v>62</v>
      </c>
      <c r="AB12" s="2">
        <v>56</v>
      </c>
      <c r="AC12" s="2">
        <f t="shared" si="6"/>
        <v>369</v>
      </c>
    </row>
    <row r="13" spans="1:29">
      <c r="A13" s="2" t="s">
        <v>419</v>
      </c>
      <c r="B13" s="2">
        <v>84</v>
      </c>
      <c r="C13" s="2">
        <v>78</v>
      </c>
      <c r="D13" s="2">
        <v>77</v>
      </c>
      <c r="E13" s="2">
        <f t="shared" si="2"/>
        <v>116</v>
      </c>
      <c r="F13" s="2">
        <v>60</v>
      </c>
      <c r="G13" s="2">
        <v>56</v>
      </c>
      <c r="H13" s="2">
        <f t="shared" si="3"/>
        <v>355</v>
      </c>
      <c r="I13" s="2">
        <v>78</v>
      </c>
      <c r="J13" s="2">
        <v>84</v>
      </c>
      <c r="K13" s="2">
        <v>85</v>
      </c>
      <c r="L13" s="2">
        <v>117</v>
      </c>
      <c r="M13" s="2">
        <v>66</v>
      </c>
      <c r="N13" s="2">
        <v>52</v>
      </c>
      <c r="O13" s="2">
        <f t="shared" si="4"/>
        <v>364</v>
      </c>
      <c r="P13" s="2">
        <v>82</v>
      </c>
      <c r="Q13" s="2">
        <v>84</v>
      </c>
      <c r="R13" s="2">
        <v>72</v>
      </c>
      <c r="S13" s="2">
        <f t="shared" si="0"/>
        <v>128</v>
      </c>
      <c r="T13" s="2">
        <v>68</v>
      </c>
      <c r="U13" s="2">
        <v>60</v>
      </c>
      <c r="V13" s="2">
        <f t="shared" si="1"/>
        <v>366</v>
      </c>
      <c r="W13" s="2">
        <v>68</v>
      </c>
      <c r="X13" s="2">
        <v>89</v>
      </c>
      <c r="Y13" s="2">
        <v>80</v>
      </c>
      <c r="Z13" s="2">
        <f t="shared" si="5"/>
        <v>115</v>
      </c>
      <c r="AA13" s="2">
        <v>62</v>
      </c>
      <c r="AB13" s="2">
        <v>53</v>
      </c>
      <c r="AC13" s="2">
        <f t="shared" si="6"/>
        <v>352</v>
      </c>
    </row>
    <row r="14" spans="1:29">
      <c r="A14" s="2" t="s">
        <v>420</v>
      </c>
      <c r="B14" s="2">
        <v>86</v>
      </c>
      <c r="C14" s="2">
        <v>87</v>
      </c>
      <c r="D14" s="2">
        <v>74</v>
      </c>
      <c r="E14" s="2">
        <f t="shared" si="2"/>
        <v>100</v>
      </c>
      <c r="F14" s="2">
        <v>46</v>
      </c>
      <c r="G14" s="2">
        <v>54</v>
      </c>
      <c r="H14" s="2">
        <f t="shared" si="3"/>
        <v>347</v>
      </c>
      <c r="I14" s="16" t="s">
        <v>14</v>
      </c>
      <c r="J14" s="16" t="s">
        <v>14</v>
      </c>
      <c r="K14" s="16" t="s">
        <v>14</v>
      </c>
      <c r="L14" s="16" t="s">
        <v>14</v>
      </c>
      <c r="M14" s="16" t="s">
        <v>14</v>
      </c>
      <c r="N14" s="16" t="s">
        <v>14</v>
      </c>
      <c r="O14" s="16" t="s">
        <v>14</v>
      </c>
      <c r="P14" s="16">
        <v>82</v>
      </c>
      <c r="Q14" s="16">
        <v>78</v>
      </c>
      <c r="R14" s="16">
        <v>86</v>
      </c>
      <c r="S14" s="2">
        <f t="shared" si="0"/>
        <v>120</v>
      </c>
      <c r="T14" s="16">
        <v>64</v>
      </c>
      <c r="U14" s="16">
        <v>56</v>
      </c>
      <c r="V14" s="2">
        <f t="shared" si="1"/>
        <v>366</v>
      </c>
      <c r="W14" s="16">
        <v>94</v>
      </c>
      <c r="X14" s="16">
        <v>87</v>
      </c>
      <c r="Y14" s="16">
        <v>95</v>
      </c>
      <c r="Z14" s="2">
        <f t="shared" si="5"/>
        <v>122</v>
      </c>
      <c r="AA14" s="16">
        <v>66</v>
      </c>
      <c r="AB14" s="16">
        <v>56</v>
      </c>
      <c r="AC14" s="2">
        <f t="shared" si="6"/>
        <v>398</v>
      </c>
    </row>
    <row r="15" spans="1:29">
      <c r="A15" s="2" t="s">
        <v>421</v>
      </c>
      <c r="B15" s="2">
        <v>46</v>
      </c>
      <c r="C15" s="2">
        <v>95</v>
      </c>
      <c r="D15" s="2">
        <v>79</v>
      </c>
      <c r="E15" s="2">
        <f t="shared" si="2"/>
        <v>122</v>
      </c>
      <c r="F15" s="2">
        <v>64</v>
      </c>
      <c r="G15" s="2">
        <v>58</v>
      </c>
      <c r="H15" s="2">
        <f t="shared" si="3"/>
        <v>342</v>
      </c>
      <c r="I15" s="2">
        <v>30</v>
      </c>
      <c r="J15" s="2">
        <v>97</v>
      </c>
      <c r="K15" s="2">
        <v>91</v>
      </c>
      <c r="L15" s="2">
        <v>124</v>
      </c>
      <c r="M15" s="2">
        <v>70</v>
      </c>
      <c r="N15" s="2">
        <v>54</v>
      </c>
      <c r="O15" s="2">
        <f t="shared" si="4"/>
        <v>342</v>
      </c>
      <c r="P15" s="2">
        <v>24</v>
      </c>
      <c r="Q15" s="2">
        <v>95</v>
      </c>
      <c r="R15" s="2">
        <v>95</v>
      </c>
      <c r="S15" s="2">
        <f t="shared" si="0"/>
        <v>119</v>
      </c>
      <c r="T15" s="2">
        <v>62</v>
      </c>
      <c r="U15" s="2">
        <v>57</v>
      </c>
      <c r="V15" s="2">
        <f t="shared" si="1"/>
        <v>333</v>
      </c>
      <c r="W15" s="2">
        <v>24</v>
      </c>
      <c r="X15" s="2">
        <v>90</v>
      </c>
      <c r="Y15" s="2">
        <v>93</v>
      </c>
      <c r="Z15" s="2">
        <f t="shared" si="5"/>
        <v>108</v>
      </c>
      <c r="AA15" s="2">
        <v>62</v>
      </c>
      <c r="AB15" s="2">
        <v>46</v>
      </c>
      <c r="AC15" s="2">
        <f t="shared" si="6"/>
        <v>315</v>
      </c>
    </row>
    <row r="16" spans="1:29">
      <c r="A16" s="2" t="s">
        <v>422</v>
      </c>
      <c r="B16" s="2">
        <v>62</v>
      </c>
      <c r="C16" s="2">
        <v>95</v>
      </c>
      <c r="D16" s="2">
        <v>48</v>
      </c>
      <c r="E16" s="2">
        <f t="shared" si="2"/>
        <v>82</v>
      </c>
      <c r="F16" s="2">
        <v>38</v>
      </c>
      <c r="G16" s="2">
        <v>44</v>
      </c>
      <c r="H16" s="2">
        <f t="shared" si="3"/>
        <v>287</v>
      </c>
      <c r="I16" s="16" t="s">
        <v>14</v>
      </c>
      <c r="J16" s="16" t="s">
        <v>14</v>
      </c>
      <c r="K16" s="16" t="s">
        <v>14</v>
      </c>
      <c r="L16" s="16" t="s">
        <v>14</v>
      </c>
      <c r="M16" s="16" t="s">
        <v>14</v>
      </c>
      <c r="N16" s="2" t="s">
        <v>14</v>
      </c>
      <c r="O16" s="2" t="s">
        <v>14</v>
      </c>
      <c r="P16" s="16">
        <v>64</v>
      </c>
      <c r="Q16" s="16">
        <v>95</v>
      </c>
      <c r="R16" s="16">
        <v>72</v>
      </c>
      <c r="S16" s="2">
        <f t="shared" si="0"/>
        <v>85</v>
      </c>
      <c r="T16" s="16">
        <v>46</v>
      </c>
      <c r="U16" s="2">
        <v>39</v>
      </c>
      <c r="V16" s="2">
        <f t="shared" si="1"/>
        <v>316</v>
      </c>
      <c r="W16" s="16">
        <v>60</v>
      </c>
      <c r="X16" s="16">
        <v>93</v>
      </c>
      <c r="Y16" s="16">
        <v>69</v>
      </c>
      <c r="Z16" s="2">
        <f t="shared" si="5"/>
        <v>86</v>
      </c>
      <c r="AA16" s="16">
        <v>48</v>
      </c>
      <c r="AB16" s="2">
        <v>38</v>
      </c>
      <c r="AC16" s="2">
        <f t="shared" si="6"/>
        <v>308</v>
      </c>
    </row>
    <row r="17" spans="1:29">
      <c r="A17" s="2" t="s">
        <v>423</v>
      </c>
      <c r="B17" s="2">
        <v>78</v>
      </c>
      <c r="C17" s="2">
        <v>78</v>
      </c>
      <c r="D17" s="2">
        <v>58</v>
      </c>
      <c r="E17" s="2">
        <f t="shared" si="2"/>
        <v>96</v>
      </c>
      <c r="F17" s="2">
        <v>56</v>
      </c>
      <c r="G17" s="2">
        <v>40</v>
      </c>
      <c r="H17" s="2">
        <f t="shared" si="3"/>
        <v>310</v>
      </c>
      <c r="I17" s="16" t="s">
        <v>14</v>
      </c>
      <c r="J17" s="16" t="s">
        <v>14</v>
      </c>
      <c r="K17" s="16" t="s">
        <v>14</v>
      </c>
      <c r="L17" s="16" t="s">
        <v>14</v>
      </c>
      <c r="M17" s="16" t="s">
        <v>14</v>
      </c>
      <c r="N17" s="2" t="s">
        <v>14</v>
      </c>
      <c r="O17" s="2" t="s">
        <v>14</v>
      </c>
      <c r="P17" s="16">
        <v>64</v>
      </c>
      <c r="Q17" s="16">
        <v>71</v>
      </c>
      <c r="R17" s="16">
        <v>81</v>
      </c>
      <c r="S17" s="2">
        <f t="shared" si="0"/>
        <v>106</v>
      </c>
      <c r="T17" s="16">
        <v>56</v>
      </c>
      <c r="U17" s="2">
        <v>50</v>
      </c>
      <c r="V17" s="2">
        <f t="shared" si="1"/>
        <v>322</v>
      </c>
      <c r="W17" s="16">
        <v>78</v>
      </c>
      <c r="X17" s="16">
        <v>87</v>
      </c>
      <c r="Y17" s="16">
        <v>84</v>
      </c>
      <c r="Z17" s="2">
        <f t="shared" si="5"/>
        <v>108</v>
      </c>
      <c r="AA17" s="16">
        <v>62</v>
      </c>
      <c r="AB17" s="2">
        <v>46</v>
      </c>
      <c r="AC17" s="2">
        <f t="shared" si="6"/>
        <v>357</v>
      </c>
    </row>
    <row r="18" spans="1:29">
      <c r="A18" s="2" t="s">
        <v>424</v>
      </c>
      <c r="B18" s="2">
        <v>70</v>
      </c>
      <c r="C18" s="2">
        <v>61</v>
      </c>
      <c r="D18" s="2">
        <v>65</v>
      </c>
      <c r="E18" s="2">
        <f t="shared" si="2"/>
        <v>102</v>
      </c>
      <c r="F18" s="2">
        <v>68</v>
      </c>
      <c r="G18" s="2">
        <v>34</v>
      </c>
      <c r="H18" s="2">
        <f t="shared" si="3"/>
        <v>298</v>
      </c>
      <c r="I18" s="2">
        <v>62</v>
      </c>
      <c r="J18" s="2">
        <v>77</v>
      </c>
      <c r="K18" s="2">
        <v>80</v>
      </c>
      <c r="L18" s="2">
        <v>108</v>
      </c>
      <c r="M18" s="2">
        <v>60</v>
      </c>
      <c r="N18" s="2">
        <v>48</v>
      </c>
      <c r="O18" s="2">
        <f t="shared" si="4"/>
        <v>327</v>
      </c>
      <c r="P18" s="2">
        <v>66</v>
      </c>
      <c r="Q18" s="2">
        <v>55</v>
      </c>
      <c r="R18" s="2">
        <v>88</v>
      </c>
      <c r="S18" s="2">
        <f t="shared" si="0"/>
        <v>64</v>
      </c>
      <c r="T18" s="2">
        <v>32</v>
      </c>
      <c r="U18" s="2">
        <v>32</v>
      </c>
      <c r="V18" s="2">
        <f t="shared" si="1"/>
        <v>273</v>
      </c>
      <c r="W18" s="2">
        <v>86</v>
      </c>
      <c r="X18" s="2">
        <v>69</v>
      </c>
      <c r="Y18" s="2">
        <v>77</v>
      </c>
      <c r="Z18" s="2">
        <f t="shared" si="5"/>
        <v>94</v>
      </c>
      <c r="AA18" s="2">
        <v>52</v>
      </c>
      <c r="AB18" s="2">
        <v>42</v>
      </c>
      <c r="AC18" s="2">
        <f t="shared" si="6"/>
        <v>326</v>
      </c>
    </row>
    <row r="19" spans="1:29">
      <c r="A19" s="2" t="s">
        <v>425</v>
      </c>
      <c r="B19" s="2">
        <v>78</v>
      </c>
      <c r="C19" s="2">
        <v>94</v>
      </c>
      <c r="D19" s="2">
        <v>83</v>
      </c>
      <c r="E19" s="2">
        <f t="shared" si="2"/>
        <v>108</v>
      </c>
      <c r="F19" s="2">
        <v>60</v>
      </c>
      <c r="G19" s="2">
        <v>48</v>
      </c>
      <c r="H19" s="2">
        <f t="shared" si="3"/>
        <v>363</v>
      </c>
      <c r="I19" s="2">
        <v>76</v>
      </c>
      <c r="J19" s="2">
        <v>79</v>
      </c>
      <c r="K19" s="2">
        <v>76</v>
      </c>
      <c r="L19" s="2">
        <v>124</v>
      </c>
      <c r="M19" s="2">
        <v>72</v>
      </c>
      <c r="N19" s="2">
        <v>52</v>
      </c>
      <c r="O19" s="2">
        <f t="shared" si="4"/>
        <v>355</v>
      </c>
      <c r="P19" s="2">
        <v>80</v>
      </c>
      <c r="Q19" s="2">
        <v>70</v>
      </c>
      <c r="R19" s="2">
        <v>88</v>
      </c>
      <c r="S19" s="2">
        <f t="shared" si="0"/>
        <v>117</v>
      </c>
      <c r="T19" s="2">
        <v>74</v>
      </c>
      <c r="U19" s="2">
        <v>43</v>
      </c>
      <c r="V19" s="2">
        <f t="shared" si="1"/>
        <v>355</v>
      </c>
      <c r="W19" s="2">
        <v>82</v>
      </c>
      <c r="X19" s="2">
        <v>90</v>
      </c>
      <c r="Y19" s="2">
        <v>94</v>
      </c>
      <c r="Z19" s="2">
        <f t="shared" si="5"/>
        <v>114</v>
      </c>
      <c r="AA19" s="2">
        <v>54</v>
      </c>
      <c r="AB19" s="2">
        <v>60</v>
      </c>
      <c r="AC19" s="2">
        <f t="shared" si="6"/>
        <v>380</v>
      </c>
    </row>
    <row r="20" spans="1:29">
      <c r="A20" s="2" t="s">
        <v>426</v>
      </c>
      <c r="B20" s="16" t="s">
        <v>14</v>
      </c>
      <c r="C20" s="16" t="s">
        <v>14</v>
      </c>
      <c r="D20" s="16" t="s">
        <v>14</v>
      </c>
      <c r="E20" s="16" t="s">
        <v>14</v>
      </c>
      <c r="F20" s="16" t="s">
        <v>14</v>
      </c>
      <c r="G20" s="16" t="s">
        <v>14</v>
      </c>
      <c r="H20" s="16" t="s">
        <v>14</v>
      </c>
      <c r="I20" s="2">
        <v>68</v>
      </c>
      <c r="J20" s="2">
        <v>84</v>
      </c>
      <c r="K20" s="2">
        <v>74</v>
      </c>
      <c r="L20" s="2">
        <v>140</v>
      </c>
      <c r="M20" s="2">
        <v>84</v>
      </c>
      <c r="N20" s="2">
        <v>56</v>
      </c>
      <c r="O20" s="2">
        <f t="shared" si="4"/>
        <v>366</v>
      </c>
      <c r="P20" s="16" t="s">
        <v>14</v>
      </c>
      <c r="Q20" s="16" t="s">
        <v>14</v>
      </c>
      <c r="R20" s="16" t="s">
        <v>14</v>
      </c>
      <c r="S20" s="16" t="s">
        <v>14</v>
      </c>
      <c r="T20" s="16" t="s">
        <v>14</v>
      </c>
      <c r="U20" s="16" t="s">
        <v>14</v>
      </c>
      <c r="V20" s="16" t="s">
        <v>14</v>
      </c>
      <c r="W20" s="16" t="s">
        <v>14</v>
      </c>
      <c r="X20" s="16" t="s">
        <v>14</v>
      </c>
      <c r="Y20" s="16" t="s">
        <v>14</v>
      </c>
      <c r="Z20" s="16" t="s">
        <v>14</v>
      </c>
      <c r="AA20" s="16" t="s">
        <v>14</v>
      </c>
      <c r="AB20" s="16" t="s">
        <v>14</v>
      </c>
      <c r="AC20" s="16" t="s">
        <v>14</v>
      </c>
    </row>
    <row r="21" spans="1:29">
      <c r="A21" s="2" t="s">
        <v>427</v>
      </c>
      <c r="B21" s="2">
        <v>62</v>
      </c>
      <c r="C21" s="2">
        <v>57</v>
      </c>
      <c r="D21" s="2">
        <v>44</v>
      </c>
      <c r="E21" s="2">
        <f t="shared" si="2"/>
        <v>96</v>
      </c>
      <c r="F21" s="2">
        <v>56</v>
      </c>
      <c r="G21" s="2">
        <v>40</v>
      </c>
      <c r="H21" s="2">
        <f t="shared" si="3"/>
        <v>259</v>
      </c>
      <c r="I21" s="2">
        <v>56</v>
      </c>
      <c r="J21" s="2">
        <v>63</v>
      </c>
      <c r="K21" s="2">
        <v>62</v>
      </c>
      <c r="L21" s="2">
        <v>112</v>
      </c>
      <c r="M21" s="2">
        <v>68</v>
      </c>
      <c r="N21" s="2">
        <v>44</v>
      </c>
      <c r="O21" s="2">
        <f t="shared" si="4"/>
        <v>293</v>
      </c>
      <c r="P21" s="16" t="s">
        <v>14</v>
      </c>
      <c r="Q21" s="16" t="s">
        <v>14</v>
      </c>
      <c r="R21" s="16" t="s">
        <v>14</v>
      </c>
      <c r="S21" s="16" t="s">
        <v>14</v>
      </c>
      <c r="T21" s="16" t="s">
        <v>14</v>
      </c>
      <c r="U21" s="16" t="s">
        <v>14</v>
      </c>
      <c r="V21" s="16" t="s">
        <v>14</v>
      </c>
      <c r="W21" s="16">
        <v>76</v>
      </c>
      <c r="X21" s="16">
        <v>73</v>
      </c>
      <c r="Y21" s="16">
        <v>63</v>
      </c>
      <c r="Z21" s="2">
        <f t="shared" si="5"/>
        <v>108</v>
      </c>
      <c r="AA21" s="16">
        <v>58</v>
      </c>
      <c r="AB21" s="16">
        <v>50</v>
      </c>
      <c r="AC21" s="2">
        <f t="shared" si="6"/>
        <v>320</v>
      </c>
    </row>
    <row r="22" spans="1:29">
      <c r="A22" s="2" t="s">
        <v>428</v>
      </c>
      <c r="B22" s="2">
        <v>32</v>
      </c>
      <c r="C22" s="2">
        <v>61</v>
      </c>
      <c r="D22" s="2">
        <v>61</v>
      </c>
      <c r="E22" s="2">
        <f t="shared" si="2"/>
        <v>100</v>
      </c>
      <c r="F22" s="2">
        <v>64</v>
      </c>
      <c r="G22" s="2">
        <v>36</v>
      </c>
      <c r="H22" s="2">
        <f t="shared" si="3"/>
        <v>254</v>
      </c>
      <c r="I22" s="2">
        <v>76</v>
      </c>
      <c r="J22" s="2">
        <v>72</v>
      </c>
      <c r="K22" s="2">
        <v>80</v>
      </c>
      <c r="L22" s="2">
        <v>116</v>
      </c>
      <c r="M22" s="2">
        <v>72</v>
      </c>
      <c r="N22" s="2">
        <v>44</v>
      </c>
      <c r="O22" s="2">
        <f t="shared" si="4"/>
        <v>344</v>
      </c>
      <c r="P22" s="2">
        <v>60</v>
      </c>
      <c r="Q22" s="2">
        <v>63</v>
      </c>
      <c r="R22" s="2">
        <v>93</v>
      </c>
      <c r="S22" s="2">
        <f t="shared" si="0"/>
        <v>104</v>
      </c>
      <c r="T22" s="2">
        <v>56</v>
      </c>
      <c r="U22" s="2">
        <v>48</v>
      </c>
      <c r="V22" s="2">
        <f t="shared" si="1"/>
        <v>320</v>
      </c>
      <c r="W22" s="2">
        <v>80</v>
      </c>
      <c r="X22" s="2">
        <v>68</v>
      </c>
      <c r="Y22" s="2">
        <v>83</v>
      </c>
      <c r="Z22" s="2">
        <f t="shared" si="5"/>
        <v>112</v>
      </c>
      <c r="AA22" s="2">
        <v>70</v>
      </c>
      <c r="AB22" s="2">
        <v>42</v>
      </c>
      <c r="AC22" s="2">
        <f t="shared" si="6"/>
        <v>343</v>
      </c>
    </row>
    <row r="23" spans="1:29">
      <c r="A23" s="2" t="s">
        <v>429</v>
      </c>
      <c r="B23" s="2">
        <v>68</v>
      </c>
      <c r="C23" s="2">
        <v>75</v>
      </c>
      <c r="D23" s="2">
        <v>79</v>
      </c>
      <c r="E23" s="2">
        <f t="shared" si="2"/>
        <v>84</v>
      </c>
      <c r="F23" s="2">
        <v>38</v>
      </c>
      <c r="G23" s="2">
        <v>46</v>
      </c>
      <c r="H23" s="2">
        <f t="shared" si="3"/>
        <v>306</v>
      </c>
      <c r="I23" s="2">
        <v>60</v>
      </c>
      <c r="J23" s="2">
        <v>71</v>
      </c>
      <c r="K23" s="2">
        <v>63</v>
      </c>
      <c r="L23" s="2">
        <v>120</v>
      </c>
      <c r="M23" s="2">
        <v>74</v>
      </c>
      <c r="N23" s="2">
        <v>46</v>
      </c>
      <c r="O23" s="2">
        <f t="shared" si="4"/>
        <v>314</v>
      </c>
      <c r="P23" s="16" t="s">
        <v>14</v>
      </c>
      <c r="Q23" s="16" t="s">
        <v>14</v>
      </c>
      <c r="R23" s="16" t="s">
        <v>14</v>
      </c>
      <c r="S23" s="16" t="s">
        <v>14</v>
      </c>
      <c r="T23" s="16" t="s">
        <v>14</v>
      </c>
      <c r="U23" s="16" t="s">
        <v>14</v>
      </c>
      <c r="V23" s="16" t="s">
        <v>14</v>
      </c>
      <c r="W23" s="16">
        <v>78</v>
      </c>
      <c r="X23" s="16">
        <v>91</v>
      </c>
      <c r="Y23" s="16">
        <v>74</v>
      </c>
      <c r="Z23" s="2">
        <f t="shared" si="5"/>
        <v>124</v>
      </c>
      <c r="AA23" s="16">
        <v>68</v>
      </c>
      <c r="AB23" s="16">
        <v>56</v>
      </c>
      <c r="AC23" s="2">
        <f t="shared" si="6"/>
        <v>367</v>
      </c>
    </row>
    <row r="24" spans="1:29">
      <c r="A24" s="2" t="s">
        <v>430</v>
      </c>
      <c r="B24" s="2">
        <v>64</v>
      </c>
      <c r="C24" s="2">
        <v>64</v>
      </c>
      <c r="D24" s="2">
        <v>55</v>
      </c>
      <c r="E24" s="2">
        <f t="shared" si="2"/>
        <v>122</v>
      </c>
      <c r="F24" s="2">
        <v>76</v>
      </c>
      <c r="G24" s="2">
        <v>46</v>
      </c>
      <c r="H24" s="2">
        <f t="shared" si="3"/>
        <v>305</v>
      </c>
      <c r="I24" s="2">
        <v>56</v>
      </c>
      <c r="J24" s="2">
        <v>78</v>
      </c>
      <c r="K24" s="2">
        <v>64</v>
      </c>
      <c r="L24" s="2">
        <v>128</v>
      </c>
      <c r="M24" s="2">
        <v>74</v>
      </c>
      <c r="N24" s="2">
        <v>54</v>
      </c>
      <c r="O24" s="2">
        <f t="shared" si="4"/>
        <v>326</v>
      </c>
      <c r="P24" s="2">
        <v>62</v>
      </c>
      <c r="Q24" s="2">
        <v>70</v>
      </c>
      <c r="R24" s="2">
        <v>94</v>
      </c>
      <c r="S24" s="2">
        <f t="shared" si="0"/>
        <v>114</v>
      </c>
      <c r="T24" s="2">
        <v>64</v>
      </c>
      <c r="U24" s="2">
        <v>50</v>
      </c>
      <c r="V24" s="2">
        <f t="shared" si="1"/>
        <v>340</v>
      </c>
      <c r="W24" s="2">
        <v>80</v>
      </c>
      <c r="X24" s="2">
        <v>59</v>
      </c>
      <c r="Y24" s="2">
        <v>89</v>
      </c>
      <c r="Z24" s="2">
        <f t="shared" si="5"/>
        <v>126</v>
      </c>
      <c r="AA24" s="2">
        <v>76</v>
      </c>
      <c r="AB24" s="2">
        <v>50</v>
      </c>
      <c r="AC24" s="2">
        <f t="shared" si="6"/>
        <v>354</v>
      </c>
    </row>
    <row r="25" spans="1:29">
      <c r="A25" s="2" t="s">
        <v>431</v>
      </c>
      <c r="B25" s="2">
        <v>82</v>
      </c>
      <c r="C25" s="2">
        <v>66</v>
      </c>
      <c r="D25" s="2">
        <v>68</v>
      </c>
      <c r="E25" s="2">
        <f t="shared" si="2"/>
        <v>100</v>
      </c>
      <c r="F25" s="2">
        <v>54</v>
      </c>
      <c r="G25" s="2">
        <v>46</v>
      </c>
      <c r="H25" s="2">
        <f t="shared" si="3"/>
        <v>316</v>
      </c>
      <c r="I25" s="2">
        <v>78</v>
      </c>
      <c r="J25" s="2">
        <v>75</v>
      </c>
      <c r="K25" s="2">
        <v>79</v>
      </c>
      <c r="L25" s="2">
        <v>136</v>
      </c>
      <c r="M25" s="2">
        <v>78</v>
      </c>
      <c r="N25" s="2">
        <v>58</v>
      </c>
      <c r="O25" s="2">
        <f t="shared" si="4"/>
        <v>368</v>
      </c>
      <c r="P25" s="2">
        <v>98</v>
      </c>
      <c r="Q25" s="2">
        <v>54</v>
      </c>
      <c r="R25" s="2">
        <v>97</v>
      </c>
      <c r="S25" s="2">
        <f t="shared" si="0"/>
        <v>115</v>
      </c>
      <c r="T25" s="2">
        <v>68</v>
      </c>
      <c r="U25" s="2">
        <v>47</v>
      </c>
      <c r="V25" s="2">
        <f t="shared" si="1"/>
        <v>364</v>
      </c>
      <c r="W25" s="2">
        <v>86</v>
      </c>
      <c r="X25" s="2">
        <v>87</v>
      </c>
      <c r="Y25" s="2">
        <v>94</v>
      </c>
      <c r="Z25" s="2">
        <f t="shared" si="5"/>
        <v>117</v>
      </c>
      <c r="AA25" s="2">
        <v>64</v>
      </c>
      <c r="AB25" s="2">
        <v>53</v>
      </c>
      <c r="AC25" s="2">
        <f t="shared" si="6"/>
        <v>384</v>
      </c>
    </row>
    <row r="26" spans="1:29">
      <c r="A26" s="2" t="s">
        <v>432</v>
      </c>
      <c r="B26" s="2">
        <v>54</v>
      </c>
      <c r="C26" s="2">
        <v>63</v>
      </c>
      <c r="D26" s="2">
        <v>66</v>
      </c>
      <c r="E26" s="2">
        <f t="shared" si="2"/>
        <v>92</v>
      </c>
      <c r="F26" s="2">
        <v>58</v>
      </c>
      <c r="G26" s="2">
        <v>34</v>
      </c>
      <c r="H26" s="2">
        <f t="shared" si="3"/>
        <v>275</v>
      </c>
      <c r="I26" s="16" t="s">
        <v>14</v>
      </c>
      <c r="J26" s="16" t="s">
        <v>14</v>
      </c>
      <c r="K26" s="16" t="s">
        <v>14</v>
      </c>
      <c r="L26" s="16" t="s">
        <v>14</v>
      </c>
      <c r="M26" s="16" t="s">
        <v>14</v>
      </c>
      <c r="N26" s="2" t="s">
        <v>14</v>
      </c>
      <c r="O26" s="2" t="s">
        <v>14</v>
      </c>
      <c r="P26" s="16">
        <v>66</v>
      </c>
      <c r="Q26" s="16">
        <v>85</v>
      </c>
      <c r="R26" s="16">
        <v>97</v>
      </c>
      <c r="S26" s="2">
        <f t="shared" si="0"/>
        <v>102</v>
      </c>
      <c r="T26" s="16">
        <v>46</v>
      </c>
      <c r="U26" s="2">
        <v>56</v>
      </c>
      <c r="V26" s="2">
        <f t="shared" si="1"/>
        <v>350</v>
      </c>
      <c r="W26" s="16" t="s">
        <v>14</v>
      </c>
      <c r="X26" s="16" t="s">
        <v>14</v>
      </c>
      <c r="Y26" s="16" t="s">
        <v>14</v>
      </c>
      <c r="Z26" s="16" t="s">
        <v>14</v>
      </c>
      <c r="AA26" s="16" t="s">
        <v>14</v>
      </c>
      <c r="AB26" s="16" t="s">
        <v>14</v>
      </c>
      <c r="AC26" s="16" t="s">
        <v>14</v>
      </c>
    </row>
    <row r="27" spans="1:29">
      <c r="A27" s="2" t="s">
        <v>433</v>
      </c>
      <c r="B27" s="2">
        <v>66</v>
      </c>
      <c r="C27" s="2">
        <v>81</v>
      </c>
      <c r="D27" s="2">
        <v>51</v>
      </c>
      <c r="E27" s="2">
        <f t="shared" si="2"/>
        <v>114</v>
      </c>
      <c r="F27" s="2">
        <v>60</v>
      </c>
      <c r="G27" s="2">
        <v>54</v>
      </c>
      <c r="H27" s="2">
        <f t="shared" si="3"/>
        <v>312</v>
      </c>
      <c r="I27" s="2">
        <v>54</v>
      </c>
      <c r="J27" s="2">
        <v>90</v>
      </c>
      <c r="K27" s="2">
        <v>81</v>
      </c>
      <c r="L27" s="2">
        <v>114</v>
      </c>
      <c r="M27" s="2">
        <v>64</v>
      </c>
      <c r="N27" s="2">
        <v>50</v>
      </c>
      <c r="O27" s="2">
        <f t="shared" si="4"/>
        <v>339</v>
      </c>
      <c r="P27" s="2">
        <v>84</v>
      </c>
      <c r="Q27" s="2">
        <v>70</v>
      </c>
      <c r="R27" s="2">
        <v>92</v>
      </c>
      <c r="S27" s="2">
        <f t="shared" si="0"/>
        <v>100</v>
      </c>
      <c r="T27" s="2">
        <v>44</v>
      </c>
      <c r="U27" s="2">
        <v>56</v>
      </c>
      <c r="V27" s="2">
        <f t="shared" si="1"/>
        <v>346</v>
      </c>
      <c r="W27" s="2">
        <v>90</v>
      </c>
      <c r="X27" s="2">
        <v>79</v>
      </c>
      <c r="Y27" s="2">
        <v>68</v>
      </c>
      <c r="Z27" s="2">
        <f t="shared" si="5"/>
        <v>122</v>
      </c>
      <c r="AA27" s="2">
        <v>66</v>
      </c>
      <c r="AB27" s="2">
        <v>56</v>
      </c>
      <c r="AC27" s="2">
        <f t="shared" si="6"/>
        <v>359</v>
      </c>
    </row>
    <row r="28" spans="1:29">
      <c r="A28" s="2" t="s">
        <v>434</v>
      </c>
      <c r="B28" s="2">
        <v>94</v>
      </c>
      <c r="C28" s="2">
        <v>92</v>
      </c>
      <c r="D28" s="2">
        <v>85</v>
      </c>
      <c r="E28" s="2">
        <f t="shared" si="2"/>
        <v>136</v>
      </c>
      <c r="F28" s="2">
        <v>78</v>
      </c>
      <c r="G28" s="2">
        <v>58</v>
      </c>
      <c r="H28" s="2">
        <f t="shared" si="3"/>
        <v>407</v>
      </c>
      <c r="I28" s="2">
        <v>84</v>
      </c>
      <c r="J28" s="2">
        <v>96</v>
      </c>
      <c r="K28" s="2">
        <v>77</v>
      </c>
      <c r="L28" s="2">
        <v>130</v>
      </c>
      <c r="M28" s="2">
        <v>76</v>
      </c>
      <c r="N28" s="2">
        <v>54</v>
      </c>
      <c r="O28" s="2">
        <f t="shared" si="4"/>
        <v>387</v>
      </c>
      <c r="P28" s="2">
        <v>92</v>
      </c>
      <c r="Q28" s="2">
        <v>97</v>
      </c>
      <c r="R28" s="2">
        <v>88</v>
      </c>
      <c r="S28" s="2">
        <f t="shared" si="0"/>
        <v>115</v>
      </c>
      <c r="T28" s="2">
        <v>58</v>
      </c>
      <c r="U28" s="2">
        <v>57</v>
      </c>
      <c r="V28" s="2">
        <f t="shared" si="1"/>
        <v>392</v>
      </c>
      <c r="W28" s="2">
        <v>88</v>
      </c>
      <c r="X28" s="2">
        <v>94</v>
      </c>
      <c r="Y28" s="2">
        <v>91</v>
      </c>
      <c r="Z28" s="2">
        <f t="shared" si="5"/>
        <v>120</v>
      </c>
      <c r="AA28" s="2">
        <v>68</v>
      </c>
      <c r="AB28" s="2">
        <v>52</v>
      </c>
      <c r="AC28" s="2">
        <f t="shared" si="6"/>
        <v>393</v>
      </c>
    </row>
    <row r="29" spans="1:29">
      <c r="A29" s="2" t="s">
        <v>435</v>
      </c>
      <c r="B29" s="2">
        <v>88</v>
      </c>
      <c r="C29" s="2">
        <v>52</v>
      </c>
      <c r="D29" s="2">
        <v>79</v>
      </c>
      <c r="E29" s="2">
        <f t="shared" si="2"/>
        <v>126</v>
      </c>
      <c r="F29" s="2">
        <v>68</v>
      </c>
      <c r="G29" s="2">
        <v>58</v>
      </c>
      <c r="H29" s="2">
        <f t="shared" si="3"/>
        <v>345</v>
      </c>
      <c r="I29" s="2">
        <v>84</v>
      </c>
      <c r="J29" s="2">
        <v>63</v>
      </c>
      <c r="K29" s="2">
        <v>68</v>
      </c>
      <c r="L29" s="2">
        <v>136</v>
      </c>
      <c r="M29" s="2">
        <v>76</v>
      </c>
      <c r="N29" s="2">
        <v>60</v>
      </c>
      <c r="O29" s="2">
        <f t="shared" si="4"/>
        <v>351</v>
      </c>
      <c r="P29" s="2">
        <v>82</v>
      </c>
      <c r="Q29" s="2">
        <v>50</v>
      </c>
      <c r="R29" s="2">
        <v>74</v>
      </c>
      <c r="S29" s="2">
        <f t="shared" si="0"/>
        <v>101</v>
      </c>
      <c r="T29" s="2">
        <v>44</v>
      </c>
      <c r="U29" s="2">
        <v>57</v>
      </c>
      <c r="V29" s="2">
        <f t="shared" si="1"/>
        <v>307</v>
      </c>
      <c r="W29" s="2">
        <v>92</v>
      </c>
      <c r="X29" s="2">
        <v>53</v>
      </c>
      <c r="Y29" s="2">
        <v>92</v>
      </c>
      <c r="Z29" s="2">
        <f t="shared" si="5"/>
        <v>112</v>
      </c>
      <c r="AA29" s="2">
        <v>60</v>
      </c>
      <c r="AB29" s="2">
        <v>52</v>
      </c>
      <c r="AC29" s="2">
        <f t="shared" si="6"/>
        <v>349</v>
      </c>
    </row>
    <row r="30" spans="1:29">
      <c r="A30" s="2" t="s">
        <v>436</v>
      </c>
      <c r="B30" s="2">
        <v>86</v>
      </c>
      <c r="C30" s="2">
        <v>94</v>
      </c>
      <c r="D30" s="2">
        <v>85</v>
      </c>
      <c r="E30" s="2">
        <f t="shared" si="2"/>
        <v>116</v>
      </c>
      <c r="F30" s="2">
        <v>56</v>
      </c>
      <c r="G30" s="2">
        <v>60</v>
      </c>
      <c r="H30" s="2">
        <f t="shared" si="3"/>
        <v>381</v>
      </c>
      <c r="I30" s="16" t="s">
        <v>14</v>
      </c>
      <c r="J30" s="16" t="s">
        <v>14</v>
      </c>
      <c r="K30" s="16" t="s">
        <v>14</v>
      </c>
      <c r="L30" s="16" t="s">
        <v>14</v>
      </c>
      <c r="M30" s="16" t="s">
        <v>14</v>
      </c>
      <c r="N30" s="2" t="s">
        <v>14</v>
      </c>
      <c r="O30" s="2" t="s">
        <v>14</v>
      </c>
      <c r="P30" s="16" t="s">
        <v>14</v>
      </c>
      <c r="Q30" s="16" t="s">
        <v>14</v>
      </c>
      <c r="R30" s="16" t="s">
        <v>14</v>
      </c>
      <c r="S30" s="16" t="s">
        <v>14</v>
      </c>
      <c r="T30" s="16" t="s">
        <v>14</v>
      </c>
      <c r="U30" s="16" t="s">
        <v>14</v>
      </c>
      <c r="V30" s="16" t="s">
        <v>14</v>
      </c>
      <c r="W30" s="16">
        <v>88</v>
      </c>
      <c r="X30" s="16">
        <v>87</v>
      </c>
      <c r="Y30" s="16">
        <v>94</v>
      </c>
      <c r="Z30" s="2">
        <f t="shared" si="5"/>
        <v>102</v>
      </c>
      <c r="AA30" s="16">
        <v>42</v>
      </c>
      <c r="AB30" s="16">
        <v>60</v>
      </c>
      <c r="AC30" s="2">
        <f t="shared" si="6"/>
        <v>371</v>
      </c>
    </row>
    <row r="31" spans="1:29">
      <c r="A31" s="2" t="s">
        <v>437</v>
      </c>
      <c r="B31" s="2">
        <v>78</v>
      </c>
      <c r="C31" s="2">
        <v>92</v>
      </c>
      <c r="D31" s="2">
        <v>68</v>
      </c>
      <c r="E31" s="2">
        <f t="shared" si="2"/>
        <v>110</v>
      </c>
      <c r="F31" s="2">
        <v>60</v>
      </c>
      <c r="G31" s="2">
        <v>50</v>
      </c>
      <c r="H31" s="2">
        <f t="shared" si="3"/>
        <v>348</v>
      </c>
      <c r="I31" s="2">
        <v>58</v>
      </c>
      <c r="J31" s="2">
        <v>90</v>
      </c>
      <c r="K31" s="2">
        <v>78</v>
      </c>
      <c r="L31" s="2">
        <v>102</v>
      </c>
      <c r="M31" s="2">
        <v>54</v>
      </c>
      <c r="N31" s="2">
        <v>48</v>
      </c>
      <c r="O31" s="2">
        <f t="shared" si="4"/>
        <v>328</v>
      </c>
      <c r="P31" s="16" t="s">
        <v>14</v>
      </c>
      <c r="Q31" s="16" t="s">
        <v>14</v>
      </c>
      <c r="R31" s="16" t="s">
        <v>14</v>
      </c>
      <c r="S31" s="16" t="s">
        <v>14</v>
      </c>
      <c r="T31" s="16" t="s">
        <v>14</v>
      </c>
      <c r="U31" s="16" t="s">
        <v>14</v>
      </c>
      <c r="V31" s="16" t="s">
        <v>14</v>
      </c>
      <c r="W31" s="16">
        <v>80</v>
      </c>
      <c r="X31" s="16">
        <v>100</v>
      </c>
      <c r="Y31" s="16">
        <v>89</v>
      </c>
      <c r="Z31" s="2">
        <f t="shared" si="5"/>
        <v>120</v>
      </c>
      <c r="AA31" s="16">
        <v>64</v>
      </c>
      <c r="AB31" s="16">
        <v>56</v>
      </c>
      <c r="AC31" s="2">
        <f t="shared" si="6"/>
        <v>389</v>
      </c>
    </row>
    <row r="32" spans="1:29">
      <c r="A32" s="2" t="s">
        <v>438</v>
      </c>
      <c r="B32" s="2">
        <v>88</v>
      </c>
      <c r="C32" s="2">
        <v>92</v>
      </c>
      <c r="D32" s="2">
        <v>89</v>
      </c>
      <c r="E32" s="2">
        <f t="shared" si="2"/>
        <v>144</v>
      </c>
      <c r="F32" s="2">
        <v>84</v>
      </c>
      <c r="G32" s="2">
        <v>60</v>
      </c>
      <c r="H32" s="2">
        <f t="shared" si="3"/>
        <v>413</v>
      </c>
      <c r="I32" s="16" t="s">
        <v>14</v>
      </c>
      <c r="J32" s="16" t="s">
        <v>14</v>
      </c>
      <c r="K32" s="16" t="s">
        <v>14</v>
      </c>
      <c r="L32" s="16" t="s">
        <v>14</v>
      </c>
      <c r="M32" s="16" t="s">
        <v>14</v>
      </c>
      <c r="N32" s="2" t="s">
        <v>14</v>
      </c>
      <c r="O32" s="2" t="s">
        <v>14</v>
      </c>
      <c r="P32" s="16">
        <v>96</v>
      </c>
      <c r="Q32" s="16">
        <v>94</v>
      </c>
      <c r="R32" s="16">
        <v>94</v>
      </c>
      <c r="S32" s="2">
        <f>U32+T32</f>
        <v>143</v>
      </c>
      <c r="T32" s="16">
        <v>88</v>
      </c>
      <c r="U32" s="2">
        <v>55</v>
      </c>
      <c r="V32" s="2">
        <f>S32+R32+Q32+P32</f>
        <v>427</v>
      </c>
      <c r="W32" s="16">
        <v>100</v>
      </c>
      <c r="X32" s="16">
        <v>93</v>
      </c>
      <c r="Y32" s="16">
        <v>94</v>
      </c>
      <c r="Z32" s="2">
        <f t="shared" si="5"/>
        <v>124</v>
      </c>
      <c r="AA32" s="16">
        <v>68</v>
      </c>
      <c r="AB32" s="2">
        <v>56</v>
      </c>
      <c r="AC32" s="2">
        <f t="shared" si="6"/>
        <v>411</v>
      </c>
    </row>
    <row r="33" spans="1:29">
      <c r="A33" s="2" t="s">
        <v>439</v>
      </c>
      <c r="B33" s="2">
        <v>54</v>
      </c>
      <c r="C33" s="2">
        <v>63</v>
      </c>
      <c r="D33" s="2">
        <v>67</v>
      </c>
      <c r="E33" s="2">
        <f t="shared" si="2"/>
        <v>92</v>
      </c>
      <c r="F33" s="2">
        <v>52</v>
      </c>
      <c r="G33" s="2">
        <v>40</v>
      </c>
      <c r="H33" s="2">
        <f t="shared" si="3"/>
        <v>276</v>
      </c>
      <c r="I33" s="16" t="s">
        <v>14</v>
      </c>
      <c r="J33" s="16" t="s">
        <v>14</v>
      </c>
      <c r="K33" s="16" t="s">
        <v>14</v>
      </c>
      <c r="L33" s="16" t="s">
        <v>14</v>
      </c>
      <c r="M33" s="16" t="s">
        <v>14</v>
      </c>
      <c r="N33" s="2" t="s">
        <v>14</v>
      </c>
      <c r="O33" s="2" t="s">
        <v>14</v>
      </c>
      <c r="P33" s="16">
        <v>80</v>
      </c>
      <c r="Q33" s="16">
        <v>88</v>
      </c>
      <c r="R33" s="16">
        <v>92</v>
      </c>
      <c r="S33" s="16">
        <v>0</v>
      </c>
      <c r="T33" s="16">
        <v>0</v>
      </c>
      <c r="U33" s="16">
        <v>0</v>
      </c>
      <c r="V33" s="2">
        <f>S33+R33+Q33+P33</f>
        <v>260</v>
      </c>
      <c r="W33" s="16" t="s">
        <v>440</v>
      </c>
      <c r="X33" s="16">
        <v>77</v>
      </c>
      <c r="Y33" s="16">
        <v>86</v>
      </c>
      <c r="Z33" s="16" t="s">
        <v>440</v>
      </c>
      <c r="AA33" s="16" t="s">
        <v>440</v>
      </c>
      <c r="AB33" s="16" t="s">
        <v>440</v>
      </c>
      <c r="AC33" s="16">
        <v>163</v>
      </c>
    </row>
    <row r="34" spans="1:29">
      <c r="A34" s="2" t="s">
        <v>441</v>
      </c>
      <c r="B34" s="2">
        <v>74</v>
      </c>
      <c r="C34" s="2">
        <v>95</v>
      </c>
      <c r="D34" s="2">
        <v>89</v>
      </c>
      <c r="E34" s="2">
        <f t="shared" si="2"/>
        <v>132</v>
      </c>
      <c r="F34" s="2">
        <v>76</v>
      </c>
      <c r="G34" s="2">
        <v>56</v>
      </c>
      <c r="H34" s="2">
        <f t="shared" si="3"/>
        <v>390</v>
      </c>
      <c r="I34" s="16" t="s">
        <v>14</v>
      </c>
      <c r="J34" s="16" t="s">
        <v>14</v>
      </c>
      <c r="K34" s="16" t="s">
        <v>14</v>
      </c>
      <c r="L34" s="16" t="s">
        <v>14</v>
      </c>
      <c r="M34" s="16" t="s">
        <v>14</v>
      </c>
      <c r="N34" s="2" t="s">
        <v>14</v>
      </c>
      <c r="O34" s="2" t="s">
        <v>14</v>
      </c>
      <c r="P34" s="16">
        <v>94</v>
      </c>
      <c r="Q34" s="16">
        <v>97</v>
      </c>
      <c r="R34" s="16">
        <v>92</v>
      </c>
      <c r="S34" s="2">
        <f>U34+T34</f>
        <v>128</v>
      </c>
      <c r="T34" s="16">
        <v>68</v>
      </c>
      <c r="U34" s="2">
        <v>60</v>
      </c>
      <c r="V34" s="2">
        <f>S34+R34+Q34+P34</f>
        <v>411</v>
      </c>
      <c r="W34" s="16">
        <v>94</v>
      </c>
      <c r="X34" s="16">
        <v>96</v>
      </c>
      <c r="Y34" s="16">
        <v>94</v>
      </c>
      <c r="Z34" s="2">
        <f t="shared" si="5"/>
        <v>126</v>
      </c>
      <c r="AA34" s="16">
        <v>66</v>
      </c>
      <c r="AB34" s="2">
        <v>60</v>
      </c>
      <c r="AC34" s="2">
        <f t="shared" si="6"/>
        <v>410</v>
      </c>
    </row>
    <row r="35" spans="1:29">
      <c r="A35" s="2" t="s">
        <v>442</v>
      </c>
      <c r="B35" s="2">
        <v>88</v>
      </c>
      <c r="C35" s="2">
        <v>90</v>
      </c>
      <c r="D35" s="2">
        <v>69</v>
      </c>
      <c r="E35" s="2">
        <f t="shared" si="2"/>
        <v>126</v>
      </c>
      <c r="F35" s="2">
        <v>66</v>
      </c>
      <c r="G35" s="2">
        <v>60</v>
      </c>
      <c r="H35" s="2">
        <f t="shared" si="3"/>
        <v>373</v>
      </c>
      <c r="I35" s="2">
        <v>72</v>
      </c>
      <c r="J35" s="2">
        <v>96</v>
      </c>
      <c r="K35" s="2">
        <v>91</v>
      </c>
      <c r="L35" s="2">
        <v>136</v>
      </c>
      <c r="M35" s="2">
        <v>82</v>
      </c>
      <c r="N35" s="2">
        <v>54</v>
      </c>
      <c r="O35" s="2">
        <f t="shared" si="4"/>
        <v>395</v>
      </c>
      <c r="P35" s="2">
        <v>86</v>
      </c>
      <c r="Q35" s="2">
        <v>92</v>
      </c>
      <c r="R35" s="2">
        <v>89</v>
      </c>
      <c r="S35" s="2">
        <f>U35+T35</f>
        <v>106</v>
      </c>
      <c r="T35" s="2">
        <v>66</v>
      </c>
      <c r="U35" s="2">
        <v>40</v>
      </c>
      <c r="V35" s="2">
        <f>S35+R35+Q35+P35</f>
        <v>373</v>
      </c>
      <c r="W35" s="2">
        <v>80</v>
      </c>
      <c r="X35" s="2">
        <v>96</v>
      </c>
      <c r="Y35" s="2">
        <v>91</v>
      </c>
      <c r="Z35" s="2">
        <f t="shared" si="5"/>
        <v>124</v>
      </c>
      <c r="AA35" s="2">
        <v>70</v>
      </c>
      <c r="AB35" s="2">
        <v>54</v>
      </c>
      <c r="AC35" s="2">
        <f t="shared" si="6"/>
        <v>391</v>
      </c>
    </row>
    <row r="36" spans="1:29">
      <c r="A36" s="2" t="s">
        <v>443</v>
      </c>
      <c r="B36" s="2">
        <v>38</v>
      </c>
      <c r="C36" s="2">
        <v>63</v>
      </c>
      <c r="D36" s="2">
        <v>55</v>
      </c>
      <c r="E36" s="2">
        <f t="shared" si="2"/>
        <v>114</v>
      </c>
      <c r="F36" s="2">
        <v>72</v>
      </c>
      <c r="G36" s="2">
        <v>42</v>
      </c>
      <c r="H36" s="2">
        <f t="shared" si="3"/>
        <v>270</v>
      </c>
      <c r="I36" s="2">
        <v>54</v>
      </c>
      <c r="J36" s="2">
        <v>72</v>
      </c>
      <c r="K36" s="2">
        <v>58</v>
      </c>
      <c r="L36" s="2">
        <v>56</v>
      </c>
      <c r="M36" s="2">
        <v>26</v>
      </c>
      <c r="N36" s="2">
        <v>30</v>
      </c>
      <c r="O36" s="2">
        <f t="shared" si="4"/>
        <v>240</v>
      </c>
      <c r="P36" s="2">
        <v>64</v>
      </c>
      <c r="Q36" s="2">
        <v>84</v>
      </c>
      <c r="R36" s="2">
        <v>97</v>
      </c>
      <c r="S36" s="2">
        <f>U36+T36</f>
        <v>101</v>
      </c>
      <c r="T36" s="2">
        <v>50</v>
      </c>
      <c r="U36" s="2">
        <v>51</v>
      </c>
      <c r="V36" s="2">
        <f>S36+R36+Q36+P36</f>
        <v>346</v>
      </c>
      <c r="W36" s="2">
        <v>74</v>
      </c>
      <c r="X36" s="2">
        <v>63</v>
      </c>
      <c r="Y36" s="2">
        <v>16</v>
      </c>
      <c r="Z36" s="2">
        <f t="shared" si="5"/>
        <v>117</v>
      </c>
      <c r="AA36" s="2">
        <v>70</v>
      </c>
      <c r="AB36" s="2">
        <v>47</v>
      </c>
      <c r="AC36" s="2">
        <f t="shared" si="6"/>
        <v>270</v>
      </c>
    </row>
    <row r="37" spans="1:29">
      <c r="A37" s="2" t="s">
        <v>444</v>
      </c>
      <c r="B37" s="2">
        <v>70</v>
      </c>
      <c r="C37" s="2">
        <v>35</v>
      </c>
      <c r="D37" s="2">
        <v>67</v>
      </c>
      <c r="E37" s="2">
        <f t="shared" si="2"/>
        <v>134</v>
      </c>
      <c r="F37" s="2">
        <v>74</v>
      </c>
      <c r="G37" s="2">
        <v>60</v>
      </c>
      <c r="H37" s="2">
        <f t="shared" si="3"/>
        <v>306</v>
      </c>
      <c r="I37" s="16" t="s">
        <v>14</v>
      </c>
      <c r="J37" s="16" t="s">
        <v>14</v>
      </c>
      <c r="K37" s="16" t="s">
        <v>14</v>
      </c>
      <c r="L37" s="16" t="s">
        <v>14</v>
      </c>
      <c r="M37" s="16" t="s">
        <v>14</v>
      </c>
      <c r="N37" s="2" t="s">
        <v>14</v>
      </c>
      <c r="O37" s="2" t="s">
        <v>14</v>
      </c>
      <c r="P37" s="16" t="s">
        <v>14</v>
      </c>
      <c r="Q37" s="16" t="s">
        <v>14</v>
      </c>
      <c r="R37" s="16" t="s">
        <v>14</v>
      </c>
      <c r="S37" s="16" t="s">
        <v>14</v>
      </c>
      <c r="T37" s="16" t="s">
        <v>14</v>
      </c>
      <c r="U37" s="16" t="s">
        <v>14</v>
      </c>
      <c r="V37" s="2" t="s">
        <v>14</v>
      </c>
      <c r="W37" s="16" t="s">
        <v>14</v>
      </c>
      <c r="X37" s="16" t="s">
        <v>14</v>
      </c>
      <c r="Y37" s="16" t="s">
        <v>14</v>
      </c>
      <c r="Z37" s="16" t="s">
        <v>14</v>
      </c>
      <c r="AA37" s="16" t="s">
        <v>14</v>
      </c>
      <c r="AB37" s="16" t="s">
        <v>14</v>
      </c>
      <c r="AC37" s="16" t="s">
        <v>14</v>
      </c>
    </row>
    <row r="38" spans="1:29">
      <c r="A38" s="2" t="s">
        <v>445</v>
      </c>
      <c r="B38" s="2">
        <v>86</v>
      </c>
      <c r="C38" s="2">
        <v>63</v>
      </c>
      <c r="D38" s="2">
        <v>64</v>
      </c>
      <c r="E38" s="2">
        <f t="shared" si="2"/>
        <v>84</v>
      </c>
      <c r="F38" s="2">
        <v>42</v>
      </c>
      <c r="G38" s="2">
        <v>42</v>
      </c>
      <c r="H38" s="2">
        <f t="shared" si="3"/>
        <v>297</v>
      </c>
      <c r="I38" s="16" t="s">
        <v>14</v>
      </c>
      <c r="J38" s="16" t="s">
        <v>14</v>
      </c>
      <c r="K38" s="16" t="s">
        <v>14</v>
      </c>
      <c r="L38" s="16" t="s">
        <v>14</v>
      </c>
      <c r="M38" s="16" t="s">
        <v>14</v>
      </c>
      <c r="N38" s="2" t="s">
        <v>14</v>
      </c>
      <c r="O38" s="2" t="s">
        <v>14</v>
      </c>
      <c r="P38" s="16" t="s">
        <v>14</v>
      </c>
      <c r="Q38" s="16" t="s">
        <v>14</v>
      </c>
      <c r="R38" s="16" t="s">
        <v>14</v>
      </c>
      <c r="S38" s="16" t="s">
        <v>14</v>
      </c>
      <c r="T38" s="16" t="s">
        <v>14</v>
      </c>
      <c r="U38" s="16" t="s">
        <v>14</v>
      </c>
      <c r="V38" s="2" t="s">
        <v>14</v>
      </c>
      <c r="W38" s="16">
        <v>76</v>
      </c>
      <c r="X38" s="16">
        <v>31</v>
      </c>
      <c r="Y38" s="16">
        <v>46</v>
      </c>
      <c r="Z38" s="2">
        <f t="shared" si="5"/>
        <v>73</v>
      </c>
      <c r="AA38" s="16">
        <v>40</v>
      </c>
      <c r="AB38" s="16">
        <v>33</v>
      </c>
      <c r="AC38" s="2">
        <f t="shared" si="6"/>
        <v>226</v>
      </c>
    </row>
    <row r="39" spans="1:29">
      <c r="A39" s="2" t="s">
        <v>29</v>
      </c>
      <c r="B39" s="16" t="s">
        <v>14</v>
      </c>
      <c r="C39" s="16" t="s">
        <v>14</v>
      </c>
      <c r="D39" s="16" t="s">
        <v>14</v>
      </c>
      <c r="E39" s="16" t="s">
        <v>14</v>
      </c>
      <c r="F39" s="16" t="s">
        <v>14</v>
      </c>
      <c r="G39" s="16" t="s">
        <v>14</v>
      </c>
      <c r="H39" s="16" t="s">
        <v>14</v>
      </c>
      <c r="I39" s="16" t="s">
        <v>14</v>
      </c>
      <c r="J39" s="16" t="s">
        <v>14</v>
      </c>
      <c r="K39" s="16" t="s">
        <v>14</v>
      </c>
      <c r="L39" s="16" t="s">
        <v>14</v>
      </c>
      <c r="M39" s="16" t="s">
        <v>14</v>
      </c>
      <c r="N39" s="2" t="s">
        <v>14</v>
      </c>
      <c r="O39" s="2" t="s">
        <v>14</v>
      </c>
      <c r="P39" s="16">
        <v>82</v>
      </c>
      <c r="Q39" s="16">
        <v>85</v>
      </c>
      <c r="R39" s="16">
        <v>83</v>
      </c>
      <c r="S39" s="2">
        <f t="shared" ref="S37:S48" si="7">U39+T39</f>
        <v>63</v>
      </c>
      <c r="T39" s="16">
        <v>32</v>
      </c>
      <c r="U39" s="2">
        <v>31</v>
      </c>
      <c r="V39" s="2">
        <f t="shared" ref="V37:V48" si="8">S39+R39+Q39+P39</f>
        <v>313</v>
      </c>
      <c r="W39" s="16" t="s">
        <v>440</v>
      </c>
      <c r="X39" s="16">
        <v>35</v>
      </c>
      <c r="Y39" s="16">
        <v>74</v>
      </c>
      <c r="Z39" s="16" t="s">
        <v>440</v>
      </c>
      <c r="AA39" s="16" t="s">
        <v>440</v>
      </c>
      <c r="AB39" s="16" t="s">
        <v>440</v>
      </c>
      <c r="AC39" s="16">
        <v>109</v>
      </c>
    </row>
    <row r="40" spans="1:29">
      <c r="A40" s="2" t="s">
        <v>446</v>
      </c>
      <c r="B40" s="16" t="s">
        <v>14</v>
      </c>
      <c r="C40" s="16" t="s">
        <v>14</v>
      </c>
      <c r="D40" s="16" t="s">
        <v>14</v>
      </c>
      <c r="E40" s="16" t="s">
        <v>14</v>
      </c>
      <c r="F40" s="16" t="s">
        <v>14</v>
      </c>
      <c r="G40" s="16" t="s">
        <v>14</v>
      </c>
      <c r="H40" s="16" t="s">
        <v>14</v>
      </c>
      <c r="I40" s="16" t="s">
        <v>14</v>
      </c>
      <c r="J40" s="16" t="s">
        <v>14</v>
      </c>
      <c r="K40" s="16" t="s">
        <v>14</v>
      </c>
      <c r="L40" s="16" t="s">
        <v>14</v>
      </c>
      <c r="M40" s="16" t="s">
        <v>14</v>
      </c>
      <c r="N40" s="2" t="s">
        <v>14</v>
      </c>
      <c r="O40" s="2" t="s">
        <v>14</v>
      </c>
      <c r="P40" s="16" t="s">
        <v>14</v>
      </c>
      <c r="Q40" s="16" t="s">
        <v>14</v>
      </c>
      <c r="R40" s="16" t="s">
        <v>14</v>
      </c>
      <c r="S40" s="16" t="s">
        <v>14</v>
      </c>
      <c r="T40" s="16" t="s">
        <v>14</v>
      </c>
      <c r="U40" s="16" t="s">
        <v>14</v>
      </c>
      <c r="V40" s="2" t="s">
        <v>14</v>
      </c>
      <c r="W40" s="16" t="s">
        <v>440</v>
      </c>
      <c r="X40" s="16">
        <v>47</v>
      </c>
      <c r="Y40" s="16">
        <v>58</v>
      </c>
      <c r="Z40" s="16" t="s">
        <v>440</v>
      </c>
      <c r="AA40" s="16" t="s">
        <v>440</v>
      </c>
      <c r="AB40" s="16" t="s">
        <v>440</v>
      </c>
      <c r="AC40" s="16">
        <v>105</v>
      </c>
    </row>
    <row r="41" spans="1:29">
      <c r="A41" s="2" t="s">
        <v>447</v>
      </c>
      <c r="B41" s="2">
        <v>80</v>
      </c>
      <c r="C41" s="2">
        <v>94</v>
      </c>
      <c r="D41" s="2">
        <v>79</v>
      </c>
      <c r="E41" s="2">
        <f>F41+G41</f>
        <v>110</v>
      </c>
      <c r="F41" s="16">
        <v>60</v>
      </c>
      <c r="G41" s="16">
        <v>50</v>
      </c>
      <c r="H41" s="2">
        <f>B41+C41+D41+E41</f>
        <v>363</v>
      </c>
      <c r="I41" s="2">
        <v>74</v>
      </c>
      <c r="J41" s="2">
        <v>83</v>
      </c>
      <c r="K41" s="2">
        <v>81</v>
      </c>
      <c r="L41" s="2">
        <v>110</v>
      </c>
      <c r="M41" s="2">
        <v>64</v>
      </c>
      <c r="N41" s="2">
        <v>46</v>
      </c>
      <c r="O41" s="2">
        <f>I41+J41+K41+L41</f>
        <v>348</v>
      </c>
      <c r="P41" s="2">
        <v>86</v>
      </c>
      <c r="Q41" s="2">
        <v>71</v>
      </c>
      <c r="R41" s="2">
        <v>92</v>
      </c>
      <c r="S41" s="2">
        <f t="shared" si="7"/>
        <v>112</v>
      </c>
      <c r="T41" s="2">
        <v>56</v>
      </c>
      <c r="U41" s="2">
        <v>56</v>
      </c>
      <c r="V41" s="2">
        <f t="shared" si="8"/>
        <v>361</v>
      </c>
      <c r="W41" s="2">
        <v>86</v>
      </c>
      <c r="X41" s="2">
        <v>89</v>
      </c>
      <c r="Y41" s="2">
        <v>86</v>
      </c>
      <c r="Z41" s="2">
        <f t="shared" si="5"/>
        <v>122</v>
      </c>
      <c r="AA41" s="2">
        <v>66</v>
      </c>
      <c r="AB41" s="2">
        <v>56</v>
      </c>
      <c r="AC41" s="2">
        <f t="shared" si="6"/>
        <v>383</v>
      </c>
    </row>
    <row r="42" spans="1:29">
      <c r="A42" s="16" t="s">
        <v>448</v>
      </c>
      <c r="B42" s="2">
        <v>52</v>
      </c>
      <c r="C42" s="2">
        <v>31</v>
      </c>
      <c r="D42" s="2">
        <v>70</v>
      </c>
      <c r="E42" s="2">
        <f>F42+G42</f>
        <v>98</v>
      </c>
      <c r="F42" s="2">
        <v>46</v>
      </c>
      <c r="G42" s="2">
        <v>52</v>
      </c>
      <c r="H42" s="2">
        <f>B42+C42+D42+E42</f>
        <v>251</v>
      </c>
      <c r="I42" s="16" t="s">
        <v>14</v>
      </c>
      <c r="J42" s="16" t="s">
        <v>14</v>
      </c>
      <c r="K42" s="16" t="s">
        <v>14</v>
      </c>
      <c r="L42" s="16" t="s">
        <v>14</v>
      </c>
      <c r="M42" s="16" t="s">
        <v>14</v>
      </c>
      <c r="N42" s="2" t="s">
        <v>14</v>
      </c>
      <c r="O42" s="2" t="s">
        <v>14</v>
      </c>
      <c r="P42" s="16">
        <v>68</v>
      </c>
      <c r="Q42" s="16">
        <v>48</v>
      </c>
      <c r="R42" s="16">
        <v>89</v>
      </c>
      <c r="S42" s="2">
        <f t="shared" si="7"/>
        <v>101</v>
      </c>
      <c r="T42" s="16">
        <v>44</v>
      </c>
      <c r="U42" s="2">
        <v>57</v>
      </c>
      <c r="V42" s="2">
        <f t="shared" si="8"/>
        <v>306</v>
      </c>
      <c r="W42" s="16">
        <v>64</v>
      </c>
      <c r="X42" s="16">
        <v>51</v>
      </c>
      <c r="Y42" s="16">
        <v>89</v>
      </c>
      <c r="Z42" s="2">
        <f t="shared" si="5"/>
        <v>106</v>
      </c>
      <c r="AA42" s="16">
        <v>54</v>
      </c>
      <c r="AB42" s="2">
        <v>52</v>
      </c>
      <c r="AC42" s="2">
        <f t="shared" si="6"/>
        <v>310</v>
      </c>
    </row>
    <row r="43" ht="14.25" spans="1:29">
      <c r="A43" s="17" t="s">
        <v>449</v>
      </c>
      <c r="B43" s="2">
        <v>56</v>
      </c>
      <c r="C43" s="2">
        <v>58</v>
      </c>
      <c r="D43" s="2">
        <v>62</v>
      </c>
      <c r="E43" s="2">
        <f>F43+G43</f>
        <v>92</v>
      </c>
      <c r="F43" s="2">
        <v>40</v>
      </c>
      <c r="G43" s="2">
        <v>52</v>
      </c>
      <c r="H43" s="2">
        <f>B43+C43+D43+E43</f>
        <v>268</v>
      </c>
      <c r="I43" s="16" t="s">
        <v>14</v>
      </c>
      <c r="J43" s="16" t="s">
        <v>14</v>
      </c>
      <c r="K43" s="16" t="s">
        <v>14</v>
      </c>
      <c r="L43" s="16" t="s">
        <v>14</v>
      </c>
      <c r="M43" s="16" t="s">
        <v>14</v>
      </c>
      <c r="N43" s="2" t="s">
        <v>14</v>
      </c>
      <c r="O43" s="2" t="s">
        <v>14</v>
      </c>
      <c r="P43" s="16" t="s">
        <v>14</v>
      </c>
      <c r="Q43" s="16" t="s">
        <v>14</v>
      </c>
      <c r="R43" s="16" t="s">
        <v>14</v>
      </c>
      <c r="S43" s="16" t="s">
        <v>14</v>
      </c>
      <c r="T43" s="16" t="s">
        <v>14</v>
      </c>
      <c r="U43" s="16" t="s">
        <v>14</v>
      </c>
      <c r="V43" s="2" t="s">
        <v>14</v>
      </c>
      <c r="W43" s="16">
        <v>64</v>
      </c>
      <c r="X43" s="16">
        <v>49</v>
      </c>
      <c r="Y43" s="16">
        <v>83</v>
      </c>
      <c r="Z43" s="2">
        <f t="shared" si="5"/>
        <v>109</v>
      </c>
      <c r="AA43" s="16">
        <v>60</v>
      </c>
      <c r="AB43" s="16">
        <v>49</v>
      </c>
      <c r="AC43" s="2">
        <f t="shared" si="6"/>
        <v>305</v>
      </c>
    </row>
    <row r="44" ht="14.25" spans="1:29">
      <c r="A44" s="18" t="s">
        <v>450</v>
      </c>
      <c r="B44" s="2">
        <v>70</v>
      </c>
      <c r="C44" s="2">
        <v>37</v>
      </c>
      <c r="D44" s="2">
        <v>56</v>
      </c>
      <c r="E44" s="2">
        <f>F44+G44</f>
        <v>112</v>
      </c>
      <c r="F44" s="2">
        <v>64</v>
      </c>
      <c r="G44" s="2">
        <v>48</v>
      </c>
      <c r="H44" s="2">
        <f>B44+C44+D44+E44</f>
        <v>275</v>
      </c>
      <c r="I44" s="2">
        <v>66</v>
      </c>
      <c r="J44" s="2">
        <v>38</v>
      </c>
      <c r="K44" s="2">
        <v>75</v>
      </c>
      <c r="L44" s="2">
        <v>116</v>
      </c>
      <c r="M44" s="2">
        <v>56</v>
      </c>
      <c r="N44" s="2">
        <v>60</v>
      </c>
      <c r="O44" s="2">
        <f>I44+J44+K44+L44</f>
        <v>295</v>
      </c>
      <c r="P44" s="2" t="s">
        <v>14</v>
      </c>
      <c r="Q44" s="2" t="s">
        <v>14</v>
      </c>
      <c r="R44" s="2" t="s">
        <v>14</v>
      </c>
      <c r="S44" s="2" t="s">
        <v>14</v>
      </c>
      <c r="T44" s="2" t="s">
        <v>14</v>
      </c>
      <c r="U44" s="2" t="s">
        <v>14</v>
      </c>
      <c r="V44" s="2" t="s">
        <v>14</v>
      </c>
      <c r="W44" s="2">
        <v>64</v>
      </c>
      <c r="X44" s="2">
        <v>32</v>
      </c>
      <c r="Y44" s="2">
        <v>68</v>
      </c>
      <c r="Z44" s="2">
        <f t="shared" si="5"/>
        <v>104</v>
      </c>
      <c r="AA44" s="2">
        <v>48</v>
      </c>
      <c r="AB44" s="2">
        <v>56</v>
      </c>
      <c r="AC44" s="2">
        <f t="shared" si="6"/>
        <v>268</v>
      </c>
    </row>
    <row r="45" ht="14.25" spans="1:29">
      <c r="A45" s="17" t="s">
        <v>451</v>
      </c>
      <c r="B45" s="16" t="s">
        <v>14</v>
      </c>
      <c r="C45" s="16" t="s">
        <v>14</v>
      </c>
      <c r="D45" s="16" t="s">
        <v>14</v>
      </c>
      <c r="E45" s="16" t="s">
        <v>14</v>
      </c>
      <c r="F45" s="16" t="s">
        <v>14</v>
      </c>
      <c r="G45" s="16" t="s">
        <v>14</v>
      </c>
      <c r="H45" s="16" t="s">
        <v>14</v>
      </c>
      <c r="I45" s="16" t="s">
        <v>14</v>
      </c>
      <c r="J45" s="16" t="s">
        <v>14</v>
      </c>
      <c r="K45" s="16" t="s">
        <v>14</v>
      </c>
      <c r="L45" s="16" t="s">
        <v>14</v>
      </c>
      <c r="M45" s="16" t="s">
        <v>14</v>
      </c>
      <c r="N45" s="2" t="s">
        <v>14</v>
      </c>
      <c r="O45" s="2" t="s">
        <v>14</v>
      </c>
      <c r="P45" s="16" t="s">
        <v>14</v>
      </c>
      <c r="Q45" s="16" t="s">
        <v>14</v>
      </c>
      <c r="R45" s="16" t="s">
        <v>14</v>
      </c>
      <c r="S45" s="16" t="s">
        <v>14</v>
      </c>
      <c r="T45" s="16" t="s">
        <v>14</v>
      </c>
      <c r="U45" s="16" t="s">
        <v>14</v>
      </c>
      <c r="V45" s="2" t="s">
        <v>14</v>
      </c>
      <c r="W45" s="16">
        <v>68</v>
      </c>
      <c r="X45" s="16">
        <v>36</v>
      </c>
      <c r="Y45" s="16">
        <v>63</v>
      </c>
      <c r="Z45" s="2">
        <f t="shared" si="5"/>
        <v>98</v>
      </c>
      <c r="AA45" s="16">
        <v>42</v>
      </c>
      <c r="AB45" s="16">
        <v>56</v>
      </c>
      <c r="AC45" s="2">
        <f t="shared" si="6"/>
        <v>265</v>
      </c>
    </row>
    <row r="46" spans="1:29">
      <c r="A46" s="2" t="s">
        <v>452</v>
      </c>
      <c r="B46" s="19">
        <v>78</v>
      </c>
      <c r="C46" s="2">
        <v>84</v>
      </c>
      <c r="D46" s="2">
        <v>71</v>
      </c>
      <c r="E46" s="2">
        <f>F46+G46</f>
        <v>82</v>
      </c>
      <c r="F46" s="2">
        <v>50</v>
      </c>
      <c r="G46" s="2">
        <v>32</v>
      </c>
      <c r="H46" s="2">
        <f>B46+C46+D46+E46</f>
        <v>315</v>
      </c>
      <c r="I46" s="2">
        <v>78</v>
      </c>
      <c r="J46" s="2">
        <v>90</v>
      </c>
      <c r="K46" s="2">
        <v>65</v>
      </c>
      <c r="L46" s="2">
        <v>106</v>
      </c>
      <c r="M46" s="2">
        <v>46</v>
      </c>
      <c r="N46" s="2">
        <v>60</v>
      </c>
      <c r="O46" s="2">
        <f>I46+J46+K46+L46</f>
        <v>339</v>
      </c>
      <c r="P46" s="2" t="s">
        <v>14</v>
      </c>
      <c r="Q46" s="2" t="s">
        <v>14</v>
      </c>
      <c r="R46" s="2" t="s">
        <v>14</v>
      </c>
      <c r="S46" s="2" t="s">
        <v>14</v>
      </c>
      <c r="T46" s="2" t="s">
        <v>14</v>
      </c>
      <c r="U46" s="2" t="s">
        <v>14</v>
      </c>
      <c r="V46" s="2" t="s">
        <v>14</v>
      </c>
      <c r="W46" s="2">
        <v>78</v>
      </c>
      <c r="X46" s="2">
        <v>91</v>
      </c>
      <c r="Y46" s="2">
        <v>78</v>
      </c>
      <c r="Z46" s="2">
        <f t="shared" si="5"/>
        <v>89</v>
      </c>
      <c r="AA46" s="2">
        <v>58</v>
      </c>
      <c r="AB46" s="2">
        <v>31</v>
      </c>
      <c r="AC46" s="2">
        <f t="shared" si="6"/>
        <v>336</v>
      </c>
    </row>
    <row r="47" spans="1:29">
      <c r="A47" s="2" t="s">
        <v>453</v>
      </c>
      <c r="B47" s="19">
        <v>78</v>
      </c>
      <c r="C47" s="2">
        <v>94</v>
      </c>
      <c r="D47" s="2">
        <v>71</v>
      </c>
      <c r="E47" s="2">
        <f>F47+G47</f>
        <v>126</v>
      </c>
      <c r="F47" s="2">
        <v>70</v>
      </c>
      <c r="G47" s="2">
        <v>56</v>
      </c>
      <c r="H47" s="2">
        <f>B47+C47+D47+E47</f>
        <v>369</v>
      </c>
      <c r="I47" s="2">
        <v>86</v>
      </c>
      <c r="J47" s="2">
        <v>96</v>
      </c>
      <c r="K47" s="2">
        <v>71</v>
      </c>
      <c r="L47" s="2">
        <v>126</v>
      </c>
      <c r="M47" s="2">
        <v>82</v>
      </c>
      <c r="N47" s="2">
        <v>44</v>
      </c>
      <c r="O47" s="2">
        <f>I47+J47+K47+L47</f>
        <v>379</v>
      </c>
      <c r="P47" s="2">
        <v>88</v>
      </c>
      <c r="Q47" s="2">
        <v>72</v>
      </c>
      <c r="R47" s="2">
        <v>89</v>
      </c>
      <c r="S47" s="2">
        <f t="shared" si="7"/>
        <v>114</v>
      </c>
      <c r="T47" s="2">
        <v>60</v>
      </c>
      <c r="U47" s="2">
        <v>54</v>
      </c>
      <c r="V47" s="2">
        <f t="shared" si="8"/>
        <v>363</v>
      </c>
      <c r="W47" s="2">
        <v>84</v>
      </c>
      <c r="X47" s="2">
        <v>80</v>
      </c>
      <c r="Y47" s="2">
        <v>70</v>
      </c>
      <c r="Z47" s="2">
        <f t="shared" si="5"/>
        <v>120</v>
      </c>
      <c r="AA47" s="2">
        <v>70</v>
      </c>
      <c r="AB47" s="2">
        <v>50</v>
      </c>
      <c r="AC47" s="2">
        <f t="shared" si="6"/>
        <v>354</v>
      </c>
    </row>
    <row r="48" spans="1:29">
      <c r="A48" s="2" t="s">
        <v>454</v>
      </c>
      <c r="B48" s="19">
        <v>76</v>
      </c>
      <c r="C48" s="2">
        <v>97</v>
      </c>
      <c r="D48" s="2">
        <v>77</v>
      </c>
      <c r="E48" s="2">
        <f>F48+G48</f>
        <v>126</v>
      </c>
      <c r="F48" s="2">
        <v>70</v>
      </c>
      <c r="G48" s="2">
        <v>56</v>
      </c>
      <c r="H48" s="2">
        <f>B48+C48+D48+E48</f>
        <v>376</v>
      </c>
      <c r="I48" s="2">
        <v>76</v>
      </c>
      <c r="J48" s="2">
        <v>78</v>
      </c>
      <c r="K48" s="2">
        <v>77</v>
      </c>
      <c r="L48" s="2">
        <v>130</v>
      </c>
      <c r="M48" s="2">
        <v>80</v>
      </c>
      <c r="N48" s="2">
        <v>50</v>
      </c>
      <c r="O48" s="2">
        <f>I48+J48+K48+L48</f>
        <v>361</v>
      </c>
      <c r="P48" s="2">
        <v>88</v>
      </c>
      <c r="Q48" s="2">
        <v>70</v>
      </c>
      <c r="R48" s="2">
        <v>80</v>
      </c>
      <c r="S48" s="2">
        <f t="shared" si="7"/>
        <v>135</v>
      </c>
      <c r="T48" s="2">
        <v>72</v>
      </c>
      <c r="U48" s="2">
        <v>63</v>
      </c>
      <c r="V48" s="2">
        <f t="shared" si="8"/>
        <v>373</v>
      </c>
      <c r="W48" s="2">
        <v>92</v>
      </c>
      <c r="X48" s="2">
        <v>75</v>
      </c>
      <c r="Y48" s="2">
        <v>86</v>
      </c>
      <c r="Z48" s="2">
        <f t="shared" si="5"/>
        <v>122</v>
      </c>
      <c r="AA48" s="2">
        <v>74</v>
      </c>
      <c r="AB48" s="2">
        <v>48</v>
      </c>
      <c r="AC48" s="2">
        <f t="shared" si="6"/>
        <v>375</v>
      </c>
    </row>
    <row r="49" spans="5:5">
      <c r="E49" s="20"/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3"/>
  <sheetViews>
    <sheetView tabSelected="1" zoomScale="55" zoomScaleNormal="55" workbookViewId="0">
      <selection activeCell="Z2" sqref="E2 L2 S2 Z2"/>
    </sheetView>
  </sheetViews>
  <sheetFormatPr defaultColWidth="9.64166666666667" defaultRowHeight="13.5"/>
  <cols>
    <col min="1" max="1" width="8.75" customWidth="1"/>
    <col min="2" max="3" width="6.375" customWidth="1"/>
    <col min="4" max="4" width="11.25" customWidth="1"/>
    <col min="5" max="5" width="16.5" customWidth="1"/>
    <col min="6" max="7" width="11.25" customWidth="1"/>
    <col min="8" max="8" width="6.375" customWidth="1"/>
    <col min="9" max="10" width="6.375" style="1" customWidth="1"/>
    <col min="11" max="11" width="11.25" style="1" customWidth="1"/>
    <col min="12" max="12" width="16.5" style="1" customWidth="1"/>
    <col min="13" max="13" width="11.25" style="1" customWidth="1"/>
    <col min="14" max="14" width="11.25" style="2" customWidth="1"/>
    <col min="15" max="15" width="6.375" style="1" customWidth="1"/>
    <col min="16" max="17" width="6.375" customWidth="1"/>
    <col min="18" max="18" width="11.25" customWidth="1"/>
    <col min="19" max="19" width="16.5" customWidth="1"/>
    <col min="20" max="21" width="11.25" customWidth="1"/>
    <col min="22" max="22" width="6.375" style="1" customWidth="1"/>
    <col min="23" max="24" width="6.375" style="3" customWidth="1"/>
    <col min="25" max="25" width="11.25" style="3" customWidth="1"/>
    <col min="26" max="26" width="16.5" style="3" customWidth="1"/>
    <col min="27" max="28" width="11.25" style="3" customWidth="1"/>
    <col min="29" max="29" width="6.375" style="3" customWidth="1"/>
  </cols>
  <sheetData>
    <row r="1" ht="18.75" spans="1:29">
      <c r="A1" s="4"/>
      <c r="B1" s="5" t="s">
        <v>0</v>
      </c>
      <c r="C1" s="5"/>
      <c r="D1" s="5"/>
      <c r="E1" s="5"/>
      <c r="F1" s="5"/>
      <c r="G1" s="5"/>
      <c r="H1" s="5"/>
      <c r="I1" s="5" t="s">
        <v>1</v>
      </c>
      <c r="J1" s="5"/>
      <c r="K1" s="5"/>
      <c r="L1" s="5"/>
      <c r="M1" s="6"/>
      <c r="N1" s="5"/>
      <c r="O1" s="7"/>
      <c r="P1" s="5" t="s">
        <v>2</v>
      </c>
      <c r="Q1" s="5"/>
      <c r="R1" s="5"/>
      <c r="S1" s="5"/>
      <c r="T1" s="6"/>
      <c r="U1" s="5"/>
      <c r="V1" s="8"/>
      <c r="W1" s="5" t="s">
        <v>3</v>
      </c>
      <c r="X1" s="5"/>
      <c r="Y1" s="5"/>
      <c r="Z1" s="5"/>
      <c r="AA1" s="5"/>
      <c r="AB1" s="5"/>
      <c r="AC1" s="5"/>
    </row>
    <row r="2" ht="18.75" spans="1:29">
      <c r="A2" s="9" t="s">
        <v>4</v>
      </c>
      <c r="B2" s="9" t="s">
        <v>5</v>
      </c>
      <c r="C2" s="9" t="s">
        <v>6</v>
      </c>
      <c r="D2" s="9" t="s">
        <v>7</v>
      </c>
      <c r="E2" s="9" t="s">
        <v>333</v>
      </c>
      <c r="F2" s="9" t="s">
        <v>8</v>
      </c>
      <c r="G2" s="9" t="s">
        <v>10</v>
      </c>
      <c r="H2" s="9" t="s">
        <v>11</v>
      </c>
      <c r="I2" s="9" t="s">
        <v>5</v>
      </c>
      <c r="J2" s="9" t="s">
        <v>6</v>
      </c>
      <c r="K2" s="9" t="s">
        <v>7</v>
      </c>
      <c r="L2" s="9" t="s">
        <v>333</v>
      </c>
      <c r="M2" s="10" t="s">
        <v>8</v>
      </c>
      <c r="N2" s="9" t="s">
        <v>10</v>
      </c>
      <c r="O2" s="11" t="s">
        <v>11</v>
      </c>
      <c r="P2" s="12" t="s">
        <v>5</v>
      </c>
      <c r="Q2" s="12" t="s">
        <v>6</v>
      </c>
      <c r="R2" s="12" t="s">
        <v>7</v>
      </c>
      <c r="S2" s="12" t="s">
        <v>333</v>
      </c>
      <c r="T2" s="12" t="s">
        <v>8</v>
      </c>
      <c r="U2" s="12" t="s">
        <v>10</v>
      </c>
      <c r="V2" s="13" t="s">
        <v>11</v>
      </c>
      <c r="W2" s="12" t="s">
        <v>5</v>
      </c>
      <c r="X2" s="12" t="s">
        <v>6</v>
      </c>
      <c r="Y2" s="12" t="s">
        <v>7</v>
      </c>
      <c r="Z2" s="12" t="s">
        <v>333</v>
      </c>
      <c r="AA2" s="12" t="s">
        <v>8</v>
      </c>
      <c r="AB2" s="12" t="s">
        <v>10</v>
      </c>
      <c r="AC2" s="12" t="s">
        <v>11</v>
      </c>
    </row>
    <row r="3" ht="18.75" spans="1:29">
      <c r="A3" s="9" t="s">
        <v>455</v>
      </c>
      <c r="B3" s="9">
        <v>76</v>
      </c>
      <c r="C3" s="9">
        <v>63</v>
      </c>
      <c r="D3" s="9">
        <v>39</v>
      </c>
      <c r="E3" s="9">
        <v>48</v>
      </c>
      <c r="F3" s="9">
        <v>48</v>
      </c>
      <c r="G3" s="9">
        <v>96</v>
      </c>
      <c r="H3" s="9">
        <v>274</v>
      </c>
      <c r="I3" s="12" t="s">
        <v>14</v>
      </c>
      <c r="J3" s="12" t="s">
        <v>14</v>
      </c>
      <c r="K3" s="12" t="s">
        <v>14</v>
      </c>
      <c r="L3" s="12" t="s">
        <v>14</v>
      </c>
      <c r="M3" s="12" t="s">
        <v>14</v>
      </c>
      <c r="N3" s="12" t="s">
        <v>14</v>
      </c>
      <c r="O3" s="12" t="s">
        <v>14</v>
      </c>
      <c r="P3" s="12" t="s">
        <v>14</v>
      </c>
      <c r="Q3" s="12" t="s">
        <v>14</v>
      </c>
      <c r="R3" s="12" t="s">
        <v>14</v>
      </c>
      <c r="S3" s="12" t="s">
        <v>14</v>
      </c>
      <c r="T3" s="12" t="s">
        <v>14</v>
      </c>
      <c r="U3" s="12" t="s">
        <v>14</v>
      </c>
      <c r="V3" s="13" t="s">
        <v>14</v>
      </c>
      <c r="W3" s="12">
        <v>64</v>
      </c>
      <c r="X3" s="12">
        <v>60</v>
      </c>
      <c r="Y3" s="12">
        <v>82</v>
      </c>
      <c r="Z3" s="12">
        <v>36</v>
      </c>
      <c r="AA3" s="12">
        <v>15</v>
      </c>
      <c r="AB3" s="12">
        <v>51</v>
      </c>
      <c r="AC3" s="12">
        <v>257</v>
      </c>
    </row>
    <row r="4" ht="18.75" spans="1:29">
      <c r="A4" s="9" t="s">
        <v>456</v>
      </c>
      <c r="B4" s="9">
        <v>76</v>
      </c>
      <c r="C4" s="9">
        <v>50</v>
      </c>
      <c r="D4" s="9">
        <v>70</v>
      </c>
      <c r="E4" s="9">
        <v>65</v>
      </c>
      <c r="F4" s="9">
        <v>25</v>
      </c>
      <c r="G4" s="9">
        <v>90</v>
      </c>
      <c r="H4" s="9">
        <v>286</v>
      </c>
      <c r="I4" s="12">
        <v>66</v>
      </c>
      <c r="J4" s="12">
        <v>54</v>
      </c>
      <c r="K4" s="12">
        <v>81</v>
      </c>
      <c r="L4" s="12">
        <v>68</v>
      </c>
      <c r="M4" s="12">
        <v>21</v>
      </c>
      <c r="N4" s="12">
        <v>89</v>
      </c>
      <c r="O4" s="12">
        <v>290</v>
      </c>
      <c r="P4" s="12">
        <v>82</v>
      </c>
      <c r="Q4" s="12">
        <v>51</v>
      </c>
      <c r="R4" s="12">
        <v>81</v>
      </c>
      <c r="S4" s="12">
        <v>76</v>
      </c>
      <c r="T4" s="12">
        <v>32</v>
      </c>
      <c r="U4" s="12">
        <v>108</v>
      </c>
      <c r="V4" s="13">
        <v>322</v>
      </c>
      <c r="W4" s="12">
        <v>86</v>
      </c>
      <c r="X4" s="12">
        <v>68</v>
      </c>
      <c r="Y4" s="12">
        <v>73</v>
      </c>
      <c r="Z4" s="12">
        <v>54</v>
      </c>
      <c r="AA4" s="12">
        <v>35</v>
      </c>
      <c r="AB4" s="12">
        <v>89</v>
      </c>
      <c r="AC4" s="12">
        <v>316</v>
      </c>
    </row>
    <row r="5" ht="18.75" spans="1:29">
      <c r="A5" s="9" t="s">
        <v>457</v>
      </c>
      <c r="B5" s="9">
        <v>76</v>
      </c>
      <c r="C5" s="9">
        <v>62</v>
      </c>
      <c r="D5" s="9">
        <v>53</v>
      </c>
      <c r="E5" s="9">
        <v>68</v>
      </c>
      <c r="F5" s="9">
        <v>45</v>
      </c>
      <c r="G5" s="9">
        <v>113</v>
      </c>
      <c r="H5" s="9">
        <v>304</v>
      </c>
      <c r="I5" s="12">
        <v>80</v>
      </c>
      <c r="J5" s="12">
        <v>64</v>
      </c>
      <c r="K5" s="12">
        <v>58</v>
      </c>
      <c r="L5" s="12">
        <v>74</v>
      </c>
      <c r="M5" s="12">
        <v>24</v>
      </c>
      <c r="N5" s="12">
        <v>98</v>
      </c>
      <c r="O5" s="12">
        <v>300</v>
      </c>
      <c r="P5" s="12">
        <v>72</v>
      </c>
      <c r="Q5" s="12">
        <v>61</v>
      </c>
      <c r="R5" s="12">
        <v>59</v>
      </c>
      <c r="S5" s="12">
        <v>84</v>
      </c>
      <c r="T5" s="12">
        <v>32</v>
      </c>
      <c r="U5" s="12">
        <v>116</v>
      </c>
      <c r="V5" s="13">
        <v>308</v>
      </c>
      <c r="W5" s="12">
        <v>76</v>
      </c>
      <c r="X5" s="12">
        <v>71</v>
      </c>
      <c r="Y5" s="12">
        <v>51</v>
      </c>
      <c r="Z5" s="12">
        <v>70</v>
      </c>
      <c r="AA5" s="12">
        <v>24</v>
      </c>
      <c r="AB5" s="12">
        <v>94</v>
      </c>
      <c r="AC5" s="12">
        <v>292</v>
      </c>
    </row>
    <row r="6" ht="18.75" spans="1:29">
      <c r="A6" s="9" t="s">
        <v>458</v>
      </c>
      <c r="B6" s="9">
        <v>86</v>
      </c>
      <c r="C6" s="9">
        <v>94</v>
      </c>
      <c r="D6" s="9">
        <v>68</v>
      </c>
      <c r="E6" s="9">
        <v>62</v>
      </c>
      <c r="F6" s="9">
        <v>45</v>
      </c>
      <c r="G6" s="9">
        <v>107</v>
      </c>
      <c r="H6" s="9">
        <v>355</v>
      </c>
      <c r="I6" s="12">
        <v>78</v>
      </c>
      <c r="J6" s="12">
        <v>90</v>
      </c>
      <c r="K6" s="12">
        <v>62</v>
      </c>
      <c r="L6" s="12">
        <v>62</v>
      </c>
      <c r="M6" s="12">
        <v>33</v>
      </c>
      <c r="N6" s="12">
        <v>95</v>
      </c>
      <c r="O6" s="12">
        <v>325</v>
      </c>
      <c r="P6" s="12">
        <v>82</v>
      </c>
      <c r="Q6" s="12">
        <v>92</v>
      </c>
      <c r="R6" s="12">
        <v>74</v>
      </c>
      <c r="S6" s="12">
        <v>78</v>
      </c>
      <c r="T6" s="12">
        <v>41</v>
      </c>
      <c r="U6" s="12">
        <v>119</v>
      </c>
      <c r="V6" s="13">
        <v>367</v>
      </c>
      <c r="W6" s="12">
        <v>90</v>
      </c>
      <c r="X6" s="12">
        <v>100</v>
      </c>
      <c r="Y6" s="12">
        <v>58</v>
      </c>
      <c r="Z6" s="12">
        <v>56</v>
      </c>
      <c r="AA6" s="12">
        <v>33</v>
      </c>
      <c r="AB6" s="12">
        <v>89</v>
      </c>
      <c r="AC6" s="12">
        <v>337</v>
      </c>
    </row>
    <row r="7" ht="18.75" spans="1:29">
      <c r="A7" s="9" t="s">
        <v>459</v>
      </c>
      <c r="B7" s="9">
        <v>82</v>
      </c>
      <c r="C7" s="9">
        <v>89</v>
      </c>
      <c r="D7" s="9">
        <v>72</v>
      </c>
      <c r="E7" s="9">
        <v>60</v>
      </c>
      <c r="F7" s="9">
        <v>46</v>
      </c>
      <c r="G7" s="9">
        <v>106</v>
      </c>
      <c r="H7" s="9">
        <v>349</v>
      </c>
      <c r="I7" s="12">
        <v>84</v>
      </c>
      <c r="J7" s="12">
        <v>93</v>
      </c>
      <c r="K7" s="12">
        <v>80</v>
      </c>
      <c r="L7" s="12">
        <v>68</v>
      </c>
      <c r="M7" s="12">
        <v>35</v>
      </c>
      <c r="N7" s="12">
        <v>103</v>
      </c>
      <c r="O7" s="12">
        <v>360</v>
      </c>
      <c r="P7" s="12">
        <v>86</v>
      </c>
      <c r="Q7" s="12">
        <v>84</v>
      </c>
      <c r="R7" s="12">
        <v>73</v>
      </c>
      <c r="S7" s="12">
        <v>70</v>
      </c>
      <c r="T7" s="12">
        <v>36</v>
      </c>
      <c r="U7" s="12">
        <v>106</v>
      </c>
      <c r="V7" s="13">
        <v>349</v>
      </c>
      <c r="W7" s="12">
        <v>86</v>
      </c>
      <c r="X7" s="12">
        <v>97</v>
      </c>
      <c r="Y7" s="12">
        <v>82</v>
      </c>
      <c r="Z7" s="12">
        <v>66</v>
      </c>
      <c r="AA7" s="12">
        <v>41</v>
      </c>
      <c r="AB7" s="12">
        <v>107</v>
      </c>
      <c r="AC7" s="12">
        <v>372</v>
      </c>
    </row>
    <row r="8" ht="18.75" spans="1:29">
      <c r="A8" s="9" t="s">
        <v>460</v>
      </c>
      <c r="B8" s="9">
        <v>84</v>
      </c>
      <c r="C8" s="9">
        <v>80</v>
      </c>
      <c r="D8" s="9">
        <v>35</v>
      </c>
      <c r="E8" s="9">
        <v>48</v>
      </c>
      <c r="F8" s="9">
        <v>29</v>
      </c>
      <c r="G8" s="9">
        <v>77</v>
      </c>
      <c r="H8" s="9">
        <v>276</v>
      </c>
      <c r="I8" s="12">
        <v>78</v>
      </c>
      <c r="J8" s="12">
        <v>93</v>
      </c>
      <c r="K8" s="12">
        <v>58</v>
      </c>
      <c r="L8" s="12">
        <v>70</v>
      </c>
      <c r="M8" s="12">
        <v>27</v>
      </c>
      <c r="N8" s="12">
        <v>97</v>
      </c>
      <c r="O8" s="12">
        <v>326</v>
      </c>
      <c r="P8" s="12">
        <v>80</v>
      </c>
      <c r="Q8" s="12">
        <v>59</v>
      </c>
      <c r="R8" s="12">
        <v>55</v>
      </c>
      <c r="S8" s="12">
        <v>74</v>
      </c>
      <c r="T8" s="12">
        <v>40</v>
      </c>
      <c r="U8" s="12">
        <v>114</v>
      </c>
      <c r="V8" s="13">
        <v>308</v>
      </c>
      <c r="W8" s="12">
        <v>92</v>
      </c>
      <c r="X8" s="12">
        <v>80</v>
      </c>
      <c r="Y8" s="12">
        <v>58</v>
      </c>
      <c r="Z8" s="12">
        <v>60</v>
      </c>
      <c r="AA8" s="12">
        <v>27</v>
      </c>
      <c r="AB8" s="12">
        <v>87</v>
      </c>
      <c r="AC8" s="12">
        <v>317</v>
      </c>
    </row>
    <row r="9" ht="18.75" spans="1:29">
      <c r="A9" s="9" t="s">
        <v>461</v>
      </c>
      <c r="B9" s="9">
        <v>88</v>
      </c>
      <c r="C9" s="9">
        <v>70</v>
      </c>
      <c r="D9" s="9">
        <v>75</v>
      </c>
      <c r="E9" s="9">
        <v>64</v>
      </c>
      <c r="F9" s="9">
        <v>46</v>
      </c>
      <c r="G9" s="9">
        <v>110</v>
      </c>
      <c r="H9" s="9">
        <v>343</v>
      </c>
      <c r="I9" s="12">
        <v>90</v>
      </c>
      <c r="J9" s="12">
        <v>84</v>
      </c>
      <c r="K9" s="12">
        <v>82</v>
      </c>
      <c r="L9" s="12">
        <v>72</v>
      </c>
      <c r="M9" s="12">
        <v>21</v>
      </c>
      <c r="N9" s="12">
        <v>93</v>
      </c>
      <c r="O9" s="12">
        <v>349</v>
      </c>
      <c r="P9" s="12">
        <v>88</v>
      </c>
      <c r="Q9" s="12">
        <v>73</v>
      </c>
      <c r="R9" s="12">
        <v>70</v>
      </c>
      <c r="S9" s="12">
        <v>74</v>
      </c>
      <c r="T9" s="12">
        <v>21</v>
      </c>
      <c r="U9" s="12">
        <v>95</v>
      </c>
      <c r="V9" s="13">
        <v>326</v>
      </c>
      <c r="W9" s="12">
        <v>98</v>
      </c>
      <c r="X9" s="12">
        <v>87</v>
      </c>
      <c r="Y9" s="12">
        <v>69</v>
      </c>
      <c r="Z9" s="12">
        <v>50</v>
      </c>
      <c r="AA9" s="12">
        <v>27</v>
      </c>
      <c r="AB9" s="12">
        <v>77</v>
      </c>
      <c r="AC9" s="12">
        <v>331</v>
      </c>
    </row>
    <row r="10" ht="18.75" spans="1:29">
      <c r="A10" s="9" t="s">
        <v>462</v>
      </c>
      <c r="B10" s="9">
        <v>82</v>
      </c>
      <c r="C10" s="9">
        <v>35</v>
      </c>
      <c r="D10" s="9">
        <v>70</v>
      </c>
      <c r="E10" s="9">
        <v>60</v>
      </c>
      <c r="F10" s="9">
        <v>37</v>
      </c>
      <c r="G10" s="9">
        <v>97</v>
      </c>
      <c r="H10" s="9">
        <v>284</v>
      </c>
      <c r="I10" s="12">
        <v>72</v>
      </c>
      <c r="J10" s="12">
        <v>51</v>
      </c>
      <c r="K10" s="12">
        <v>73</v>
      </c>
      <c r="L10" s="12">
        <v>70</v>
      </c>
      <c r="M10" s="12">
        <v>24</v>
      </c>
      <c r="N10" s="12">
        <v>94</v>
      </c>
      <c r="O10" s="12">
        <v>290</v>
      </c>
      <c r="P10" s="12">
        <v>86</v>
      </c>
      <c r="Q10" s="12">
        <v>43</v>
      </c>
      <c r="R10" s="12">
        <v>81</v>
      </c>
      <c r="S10" s="12">
        <v>58</v>
      </c>
      <c r="T10" s="12">
        <v>23</v>
      </c>
      <c r="U10" s="12">
        <v>81</v>
      </c>
      <c r="V10" s="13">
        <v>291</v>
      </c>
      <c r="W10" s="12">
        <v>88</v>
      </c>
      <c r="X10" s="12">
        <v>61</v>
      </c>
      <c r="Y10" s="12">
        <v>65</v>
      </c>
      <c r="Z10" s="12">
        <v>54</v>
      </c>
      <c r="AA10" s="12">
        <v>38</v>
      </c>
      <c r="AB10" s="12">
        <v>92</v>
      </c>
      <c r="AC10" s="12">
        <v>306</v>
      </c>
    </row>
    <row r="11" ht="18.75" spans="1:29">
      <c r="A11" s="9" t="s">
        <v>463</v>
      </c>
      <c r="B11" s="9">
        <v>88</v>
      </c>
      <c r="C11" s="9">
        <v>82</v>
      </c>
      <c r="D11" s="9">
        <v>66</v>
      </c>
      <c r="E11" s="9">
        <v>80</v>
      </c>
      <c r="F11" s="9">
        <v>54</v>
      </c>
      <c r="G11" s="9">
        <v>134</v>
      </c>
      <c r="H11" s="9">
        <v>370</v>
      </c>
      <c r="I11" s="12">
        <v>88</v>
      </c>
      <c r="J11" s="12">
        <v>95</v>
      </c>
      <c r="K11" s="12">
        <v>64</v>
      </c>
      <c r="L11" s="12">
        <v>80</v>
      </c>
      <c r="M11" s="12">
        <v>54</v>
      </c>
      <c r="N11" s="12">
        <v>134</v>
      </c>
      <c r="O11" s="12">
        <v>381</v>
      </c>
      <c r="P11" s="12">
        <v>96</v>
      </c>
      <c r="Q11" s="12">
        <v>80</v>
      </c>
      <c r="R11" s="12">
        <v>64</v>
      </c>
      <c r="S11" s="12">
        <v>74</v>
      </c>
      <c r="T11" s="12">
        <v>47</v>
      </c>
      <c r="U11" s="12">
        <v>121</v>
      </c>
      <c r="V11" s="13">
        <v>361</v>
      </c>
      <c r="W11" s="12">
        <v>96</v>
      </c>
      <c r="X11" s="12">
        <v>94</v>
      </c>
      <c r="Y11" s="12">
        <v>58</v>
      </c>
      <c r="Z11" s="12">
        <v>64</v>
      </c>
      <c r="AA11" s="12">
        <v>42</v>
      </c>
      <c r="AB11" s="12">
        <v>106</v>
      </c>
      <c r="AC11" s="12">
        <v>354</v>
      </c>
    </row>
    <row r="12" ht="18.75" spans="1:29">
      <c r="A12" s="9" t="s">
        <v>464</v>
      </c>
      <c r="B12" s="9">
        <v>74</v>
      </c>
      <c r="C12" s="9">
        <v>63</v>
      </c>
      <c r="D12" s="9">
        <v>67</v>
      </c>
      <c r="E12" s="9">
        <v>44</v>
      </c>
      <c r="F12" s="9">
        <v>40</v>
      </c>
      <c r="G12" s="9">
        <v>84</v>
      </c>
      <c r="H12" s="9">
        <v>288</v>
      </c>
      <c r="I12" s="12">
        <v>54</v>
      </c>
      <c r="J12" s="12">
        <v>73</v>
      </c>
      <c r="K12" s="12">
        <v>57</v>
      </c>
      <c r="L12" s="12">
        <v>62</v>
      </c>
      <c r="M12" s="12">
        <v>37</v>
      </c>
      <c r="N12" s="12">
        <v>99</v>
      </c>
      <c r="O12" s="12">
        <v>283</v>
      </c>
      <c r="P12" s="12" t="s">
        <v>14</v>
      </c>
      <c r="Q12" s="12" t="s">
        <v>14</v>
      </c>
      <c r="R12" s="12" t="s">
        <v>14</v>
      </c>
      <c r="S12" s="12" t="s">
        <v>14</v>
      </c>
      <c r="T12" s="12" t="s">
        <v>14</v>
      </c>
      <c r="U12" s="12" t="s">
        <v>14</v>
      </c>
      <c r="V12" s="13" t="s">
        <v>14</v>
      </c>
      <c r="W12" s="12">
        <v>76</v>
      </c>
      <c r="X12" s="12">
        <v>58</v>
      </c>
      <c r="Y12" s="12">
        <v>55</v>
      </c>
      <c r="Z12" s="12">
        <v>44</v>
      </c>
      <c r="AA12" s="12">
        <v>21</v>
      </c>
      <c r="AB12" s="12">
        <v>65</v>
      </c>
      <c r="AC12" s="12">
        <v>254</v>
      </c>
    </row>
    <row r="13" ht="18.75" spans="1:29">
      <c r="A13" s="9" t="s">
        <v>465</v>
      </c>
      <c r="B13" s="9">
        <v>80</v>
      </c>
      <c r="C13" s="9">
        <v>96</v>
      </c>
      <c r="D13" s="9">
        <v>86</v>
      </c>
      <c r="E13" s="9">
        <v>60</v>
      </c>
      <c r="F13" s="9">
        <v>41</v>
      </c>
      <c r="G13" s="9">
        <v>101</v>
      </c>
      <c r="H13" s="9">
        <v>363</v>
      </c>
      <c r="I13" s="12">
        <v>70</v>
      </c>
      <c r="J13" s="12">
        <v>82</v>
      </c>
      <c r="K13" s="12">
        <v>84</v>
      </c>
      <c r="L13" s="12">
        <v>64</v>
      </c>
      <c r="M13" s="12">
        <v>27</v>
      </c>
      <c r="N13" s="12">
        <v>91</v>
      </c>
      <c r="O13" s="12">
        <v>327</v>
      </c>
      <c r="P13" s="12">
        <v>76</v>
      </c>
      <c r="Q13" s="12">
        <v>88</v>
      </c>
      <c r="R13" s="12">
        <v>82</v>
      </c>
      <c r="S13" s="12">
        <v>72</v>
      </c>
      <c r="T13" s="12">
        <v>38</v>
      </c>
      <c r="U13" s="12">
        <v>110</v>
      </c>
      <c r="V13" s="13">
        <v>356</v>
      </c>
      <c r="W13" s="12">
        <v>78</v>
      </c>
      <c r="X13" s="12">
        <v>87</v>
      </c>
      <c r="Y13" s="12">
        <v>84</v>
      </c>
      <c r="Z13" s="12">
        <v>54</v>
      </c>
      <c r="AA13" s="12">
        <v>32</v>
      </c>
      <c r="AB13" s="12">
        <v>86</v>
      </c>
      <c r="AC13" s="12">
        <v>335</v>
      </c>
    </row>
    <row r="14" ht="18.75" spans="1:29">
      <c r="A14" s="9" t="s">
        <v>466</v>
      </c>
      <c r="B14" s="9">
        <v>70</v>
      </c>
      <c r="C14" s="9">
        <v>81</v>
      </c>
      <c r="D14" s="9">
        <v>50</v>
      </c>
      <c r="E14" s="9">
        <v>56</v>
      </c>
      <c r="F14" s="9">
        <v>36</v>
      </c>
      <c r="G14" s="9">
        <v>92</v>
      </c>
      <c r="H14" s="9">
        <v>293</v>
      </c>
      <c r="I14" s="12">
        <v>72</v>
      </c>
      <c r="J14" s="12">
        <v>85</v>
      </c>
      <c r="K14" s="12">
        <v>64</v>
      </c>
      <c r="L14" s="12">
        <v>74</v>
      </c>
      <c r="M14" s="12">
        <v>35</v>
      </c>
      <c r="N14" s="12">
        <v>109</v>
      </c>
      <c r="O14" s="12">
        <v>330</v>
      </c>
      <c r="P14" s="12">
        <v>76</v>
      </c>
      <c r="Q14" s="12">
        <v>81</v>
      </c>
      <c r="R14" s="12">
        <v>71</v>
      </c>
      <c r="S14" s="12">
        <v>72</v>
      </c>
      <c r="T14" s="12">
        <v>43</v>
      </c>
      <c r="U14" s="12">
        <v>115</v>
      </c>
      <c r="V14" s="13">
        <v>343</v>
      </c>
      <c r="W14" s="12">
        <v>78</v>
      </c>
      <c r="X14" s="12">
        <v>90</v>
      </c>
      <c r="Y14" s="12">
        <v>53</v>
      </c>
      <c r="Z14" s="12">
        <v>46</v>
      </c>
      <c r="AA14" s="12">
        <v>27</v>
      </c>
      <c r="AB14" s="12">
        <v>73</v>
      </c>
      <c r="AC14" s="12">
        <v>294</v>
      </c>
    </row>
    <row r="15" ht="18.75" spans="1:29">
      <c r="A15" s="9" t="s">
        <v>467</v>
      </c>
      <c r="B15" s="9">
        <v>78</v>
      </c>
      <c r="C15" s="9">
        <v>81</v>
      </c>
      <c r="D15" s="9">
        <v>43</v>
      </c>
      <c r="E15" s="9">
        <v>56</v>
      </c>
      <c r="F15" s="9">
        <v>31</v>
      </c>
      <c r="G15" s="9">
        <v>87</v>
      </c>
      <c r="H15" s="9">
        <v>289</v>
      </c>
      <c r="I15" s="12">
        <v>60</v>
      </c>
      <c r="J15" s="12">
        <v>78</v>
      </c>
      <c r="K15" s="12">
        <v>69</v>
      </c>
      <c r="L15" s="12">
        <v>58</v>
      </c>
      <c r="M15" s="12">
        <v>36</v>
      </c>
      <c r="N15" s="12">
        <v>94</v>
      </c>
      <c r="O15" s="12">
        <v>301</v>
      </c>
      <c r="P15" s="12">
        <v>70</v>
      </c>
      <c r="Q15" s="12">
        <v>64</v>
      </c>
      <c r="R15" s="12">
        <v>60</v>
      </c>
      <c r="S15" s="12">
        <v>58</v>
      </c>
      <c r="T15" s="12">
        <v>32</v>
      </c>
      <c r="U15" s="12">
        <v>90</v>
      </c>
      <c r="V15" s="13">
        <v>284</v>
      </c>
      <c r="W15" s="12">
        <v>78</v>
      </c>
      <c r="X15" s="12">
        <v>83</v>
      </c>
      <c r="Y15" s="12">
        <v>55</v>
      </c>
      <c r="Z15" s="12">
        <v>56</v>
      </c>
      <c r="AA15" s="12">
        <v>39</v>
      </c>
      <c r="AB15" s="12">
        <v>95</v>
      </c>
      <c r="AC15" s="12">
        <v>311</v>
      </c>
    </row>
    <row r="16" ht="18.75" spans="1:29">
      <c r="A16" s="14" t="s">
        <v>468</v>
      </c>
      <c r="B16" s="9">
        <v>70</v>
      </c>
      <c r="C16" s="9">
        <v>80</v>
      </c>
      <c r="D16" s="9">
        <v>60</v>
      </c>
      <c r="E16" s="9">
        <v>68</v>
      </c>
      <c r="F16" s="9">
        <v>35</v>
      </c>
      <c r="G16" s="9">
        <v>103</v>
      </c>
      <c r="H16" s="9">
        <v>313</v>
      </c>
      <c r="I16" s="12">
        <v>64</v>
      </c>
      <c r="J16" s="12">
        <v>84</v>
      </c>
      <c r="K16" s="12">
        <v>62</v>
      </c>
      <c r="L16" s="12">
        <v>70</v>
      </c>
      <c r="M16" s="12">
        <v>30</v>
      </c>
      <c r="N16" s="12">
        <v>100</v>
      </c>
      <c r="O16" s="12">
        <v>310</v>
      </c>
      <c r="P16" s="12">
        <v>58</v>
      </c>
      <c r="Q16" s="12">
        <v>79</v>
      </c>
      <c r="R16" s="12">
        <v>82</v>
      </c>
      <c r="S16" s="12">
        <v>72</v>
      </c>
      <c r="T16" s="12">
        <v>33</v>
      </c>
      <c r="U16" s="12">
        <v>105</v>
      </c>
      <c r="V16" s="13">
        <v>324</v>
      </c>
      <c r="W16" s="12">
        <v>68</v>
      </c>
      <c r="X16" s="12">
        <v>96</v>
      </c>
      <c r="Y16" s="12">
        <v>78</v>
      </c>
      <c r="Z16" s="12">
        <v>66</v>
      </c>
      <c r="AA16" s="12">
        <v>21</v>
      </c>
      <c r="AB16" s="12">
        <v>87</v>
      </c>
      <c r="AC16" s="12">
        <v>329</v>
      </c>
    </row>
    <row r="17" ht="18.75" spans="1:29">
      <c r="A17" s="9" t="s">
        <v>469</v>
      </c>
      <c r="B17" s="9">
        <v>86</v>
      </c>
      <c r="C17" s="9">
        <v>94</v>
      </c>
      <c r="D17" s="9">
        <v>81</v>
      </c>
      <c r="E17" s="9">
        <v>84</v>
      </c>
      <c r="F17" s="9">
        <v>54</v>
      </c>
      <c r="G17" s="9">
        <v>138</v>
      </c>
      <c r="H17" s="9">
        <v>399</v>
      </c>
      <c r="I17" s="12">
        <v>76</v>
      </c>
      <c r="J17" s="12">
        <v>83</v>
      </c>
      <c r="K17" s="12">
        <v>83</v>
      </c>
      <c r="L17" s="12">
        <v>82</v>
      </c>
      <c r="M17" s="12">
        <v>41</v>
      </c>
      <c r="N17" s="12">
        <v>123</v>
      </c>
      <c r="O17" s="12">
        <v>365</v>
      </c>
      <c r="P17" s="12" t="s">
        <v>14</v>
      </c>
      <c r="Q17" s="12" t="s">
        <v>14</v>
      </c>
      <c r="R17" s="12" t="s">
        <v>14</v>
      </c>
      <c r="S17" s="12" t="s">
        <v>14</v>
      </c>
      <c r="T17" s="12" t="s">
        <v>14</v>
      </c>
      <c r="U17" s="12" t="s">
        <v>14</v>
      </c>
      <c r="V17" s="13" t="s">
        <v>14</v>
      </c>
      <c r="W17" s="12">
        <v>92</v>
      </c>
      <c r="X17" s="12">
        <v>92</v>
      </c>
      <c r="Y17" s="12">
        <v>56</v>
      </c>
      <c r="Z17" s="12">
        <v>64</v>
      </c>
      <c r="AA17" s="12">
        <v>52</v>
      </c>
      <c r="AB17" s="12">
        <v>116</v>
      </c>
      <c r="AC17" s="12">
        <v>356</v>
      </c>
    </row>
    <row r="18" ht="18.75" spans="1:29">
      <c r="A18" s="9" t="s">
        <v>470</v>
      </c>
      <c r="B18" s="9">
        <v>76</v>
      </c>
      <c r="C18" s="9">
        <v>80</v>
      </c>
      <c r="D18" s="9">
        <v>59</v>
      </c>
      <c r="E18" s="9">
        <v>70</v>
      </c>
      <c r="F18" s="9">
        <v>41</v>
      </c>
      <c r="G18" s="9">
        <v>111</v>
      </c>
      <c r="H18" s="9">
        <v>326</v>
      </c>
      <c r="I18" s="12">
        <v>66</v>
      </c>
      <c r="J18" s="12">
        <v>75</v>
      </c>
      <c r="K18" s="12">
        <v>51</v>
      </c>
      <c r="L18" s="12">
        <v>62</v>
      </c>
      <c r="M18" s="12">
        <v>30</v>
      </c>
      <c r="N18" s="12">
        <v>92</v>
      </c>
      <c r="O18" s="12">
        <v>284</v>
      </c>
      <c r="P18" s="12">
        <v>78</v>
      </c>
      <c r="Q18" s="12">
        <v>74</v>
      </c>
      <c r="R18" s="12">
        <v>62</v>
      </c>
      <c r="S18" s="12">
        <v>56</v>
      </c>
      <c r="T18" s="12">
        <v>24</v>
      </c>
      <c r="U18" s="12">
        <v>80</v>
      </c>
      <c r="V18" s="13">
        <v>294</v>
      </c>
      <c r="W18" s="12">
        <v>78</v>
      </c>
      <c r="X18" s="12">
        <v>89</v>
      </c>
      <c r="Y18" s="12">
        <v>65</v>
      </c>
      <c r="Z18" s="12">
        <v>72</v>
      </c>
      <c r="AA18" s="12">
        <v>26</v>
      </c>
      <c r="AB18" s="12">
        <v>98</v>
      </c>
      <c r="AC18" s="12">
        <v>330</v>
      </c>
    </row>
    <row r="19" ht="18.75" spans="1:29">
      <c r="A19" s="9" t="s">
        <v>471</v>
      </c>
      <c r="B19" s="9">
        <v>78</v>
      </c>
      <c r="C19" s="9">
        <v>100</v>
      </c>
      <c r="D19" s="9">
        <v>84</v>
      </c>
      <c r="E19" s="9">
        <v>74</v>
      </c>
      <c r="F19" s="9">
        <v>54</v>
      </c>
      <c r="G19" s="9">
        <v>128</v>
      </c>
      <c r="H19" s="9">
        <v>390</v>
      </c>
      <c r="I19" s="12">
        <v>72</v>
      </c>
      <c r="J19" s="12">
        <v>95</v>
      </c>
      <c r="K19" s="12">
        <v>88</v>
      </c>
      <c r="L19" s="12">
        <v>78</v>
      </c>
      <c r="M19" s="12">
        <v>41</v>
      </c>
      <c r="N19" s="12">
        <v>119</v>
      </c>
      <c r="O19" s="12">
        <v>374</v>
      </c>
      <c r="P19" s="12">
        <v>72</v>
      </c>
      <c r="Q19" s="12">
        <v>93</v>
      </c>
      <c r="R19" s="12">
        <v>88</v>
      </c>
      <c r="S19" s="12">
        <v>48</v>
      </c>
      <c r="T19" s="12">
        <v>38</v>
      </c>
      <c r="U19" s="12">
        <v>86</v>
      </c>
      <c r="V19" s="13">
        <v>339</v>
      </c>
      <c r="W19" s="12">
        <v>80</v>
      </c>
      <c r="X19" s="12">
        <v>89</v>
      </c>
      <c r="Y19" s="12">
        <v>71</v>
      </c>
      <c r="Z19" s="12">
        <v>66</v>
      </c>
      <c r="AA19" s="12">
        <v>47</v>
      </c>
      <c r="AB19" s="12">
        <v>113</v>
      </c>
      <c r="AC19" s="12">
        <v>353</v>
      </c>
    </row>
    <row r="20" ht="18.75" spans="1:29">
      <c r="A20" s="9" t="s">
        <v>472</v>
      </c>
      <c r="B20" s="9">
        <v>78</v>
      </c>
      <c r="C20" s="9">
        <v>90</v>
      </c>
      <c r="D20" s="9">
        <v>92</v>
      </c>
      <c r="E20" s="9">
        <v>44</v>
      </c>
      <c r="F20" s="9">
        <v>51</v>
      </c>
      <c r="G20" s="9">
        <v>95</v>
      </c>
      <c r="H20" s="9">
        <v>355</v>
      </c>
      <c r="I20" s="12">
        <v>72</v>
      </c>
      <c r="J20" s="12">
        <v>88</v>
      </c>
      <c r="K20" s="12">
        <v>75</v>
      </c>
      <c r="L20" s="12">
        <v>64</v>
      </c>
      <c r="M20" s="12">
        <v>32</v>
      </c>
      <c r="N20" s="12">
        <v>96</v>
      </c>
      <c r="O20" s="12">
        <v>331</v>
      </c>
      <c r="P20" s="12">
        <v>74</v>
      </c>
      <c r="Q20" s="12">
        <v>70</v>
      </c>
      <c r="R20" s="12">
        <v>79</v>
      </c>
      <c r="S20" s="12">
        <v>38</v>
      </c>
      <c r="T20" s="12">
        <v>12</v>
      </c>
      <c r="U20" s="12">
        <v>50</v>
      </c>
      <c r="V20" s="13">
        <v>273</v>
      </c>
      <c r="W20" s="12">
        <v>84</v>
      </c>
      <c r="X20" s="12">
        <v>90</v>
      </c>
      <c r="Y20" s="12">
        <v>58</v>
      </c>
      <c r="Z20" s="12">
        <v>56</v>
      </c>
      <c r="AA20" s="12">
        <v>35</v>
      </c>
      <c r="AB20" s="12">
        <v>91</v>
      </c>
      <c r="AC20" s="12">
        <v>323</v>
      </c>
    </row>
    <row r="21" ht="18.75" spans="1:29">
      <c r="A21" s="9" t="s">
        <v>473</v>
      </c>
      <c r="B21" s="9">
        <v>78</v>
      </c>
      <c r="C21" s="9">
        <v>99</v>
      </c>
      <c r="D21" s="9">
        <v>76</v>
      </c>
      <c r="E21" s="9">
        <v>68</v>
      </c>
      <c r="F21" s="9">
        <v>54</v>
      </c>
      <c r="G21" s="9">
        <v>122</v>
      </c>
      <c r="H21" s="9">
        <v>375</v>
      </c>
      <c r="I21" s="12">
        <v>76</v>
      </c>
      <c r="J21" s="12">
        <v>95</v>
      </c>
      <c r="K21" s="12">
        <v>77</v>
      </c>
      <c r="L21" s="12">
        <v>62</v>
      </c>
      <c r="M21" s="12">
        <v>30</v>
      </c>
      <c r="N21" s="12">
        <v>92</v>
      </c>
      <c r="O21" s="12">
        <v>340</v>
      </c>
      <c r="P21" s="12">
        <v>82</v>
      </c>
      <c r="Q21" s="12">
        <v>74</v>
      </c>
      <c r="R21" s="12">
        <v>78</v>
      </c>
      <c r="S21" s="12">
        <v>84</v>
      </c>
      <c r="T21" s="12">
        <v>32</v>
      </c>
      <c r="U21" s="12">
        <v>116</v>
      </c>
      <c r="V21" s="13">
        <v>350</v>
      </c>
      <c r="W21" s="12">
        <v>78</v>
      </c>
      <c r="X21" s="12">
        <v>93</v>
      </c>
      <c r="Y21" s="12">
        <v>71</v>
      </c>
      <c r="Z21" s="12">
        <v>66</v>
      </c>
      <c r="AA21" s="12">
        <v>32</v>
      </c>
      <c r="AB21" s="12">
        <v>98</v>
      </c>
      <c r="AC21" s="12">
        <v>340</v>
      </c>
    </row>
    <row r="22" ht="18.75" spans="1:29">
      <c r="A22" s="9" t="s">
        <v>474</v>
      </c>
      <c r="B22" s="9">
        <v>48</v>
      </c>
      <c r="C22" s="9">
        <v>92</v>
      </c>
      <c r="D22" s="9">
        <v>30</v>
      </c>
      <c r="E22" s="9">
        <v>62</v>
      </c>
      <c r="F22" s="9">
        <v>54</v>
      </c>
      <c r="G22" s="9">
        <v>116</v>
      </c>
      <c r="H22" s="9">
        <v>286</v>
      </c>
      <c r="I22" s="12">
        <v>58</v>
      </c>
      <c r="J22" s="12">
        <v>80</v>
      </c>
      <c r="K22" s="12">
        <v>43</v>
      </c>
      <c r="L22" s="12">
        <v>70</v>
      </c>
      <c r="M22" s="12">
        <v>40</v>
      </c>
      <c r="N22" s="12">
        <v>110</v>
      </c>
      <c r="O22" s="12">
        <v>291</v>
      </c>
      <c r="P22" s="12">
        <v>44</v>
      </c>
      <c r="Q22" s="12">
        <v>65</v>
      </c>
      <c r="R22" s="12">
        <v>37</v>
      </c>
      <c r="S22" s="12">
        <v>78</v>
      </c>
      <c r="T22" s="12">
        <v>46</v>
      </c>
      <c r="U22" s="12">
        <v>124</v>
      </c>
      <c r="V22" s="13">
        <v>270</v>
      </c>
      <c r="W22" s="12">
        <v>66</v>
      </c>
      <c r="X22" s="12">
        <v>86</v>
      </c>
      <c r="Y22" s="12">
        <v>46</v>
      </c>
      <c r="Z22" s="12">
        <v>32</v>
      </c>
      <c r="AA22" s="12">
        <v>27</v>
      </c>
      <c r="AB22" s="12">
        <v>59</v>
      </c>
      <c r="AC22" s="12">
        <v>257</v>
      </c>
    </row>
    <row r="23" ht="18.75" spans="1:29">
      <c r="A23" s="9" t="s">
        <v>475</v>
      </c>
      <c r="B23" s="9">
        <v>82</v>
      </c>
      <c r="C23" s="9">
        <v>78</v>
      </c>
      <c r="D23" s="9">
        <v>86</v>
      </c>
      <c r="E23" s="9">
        <v>80</v>
      </c>
      <c r="F23" s="9">
        <v>51</v>
      </c>
      <c r="G23" s="9">
        <v>131</v>
      </c>
      <c r="H23" s="9">
        <v>377</v>
      </c>
      <c r="I23" s="12">
        <v>72</v>
      </c>
      <c r="J23" s="12">
        <v>92</v>
      </c>
      <c r="K23" s="12">
        <v>82</v>
      </c>
      <c r="L23" s="12">
        <v>72</v>
      </c>
      <c r="M23" s="12">
        <v>38</v>
      </c>
      <c r="N23" s="12">
        <v>110</v>
      </c>
      <c r="O23" s="12">
        <v>356</v>
      </c>
      <c r="P23" s="12">
        <v>72</v>
      </c>
      <c r="Q23" s="12">
        <v>72</v>
      </c>
      <c r="R23" s="12">
        <v>61</v>
      </c>
      <c r="S23" s="12">
        <v>56</v>
      </c>
      <c r="T23" s="12">
        <v>29</v>
      </c>
      <c r="U23" s="12">
        <v>85</v>
      </c>
      <c r="V23" s="13">
        <v>290</v>
      </c>
      <c r="W23" s="12">
        <v>84</v>
      </c>
      <c r="X23" s="12">
        <v>90</v>
      </c>
      <c r="Y23" s="12">
        <v>69</v>
      </c>
      <c r="Z23" s="12">
        <v>66</v>
      </c>
      <c r="AA23" s="12">
        <v>27</v>
      </c>
      <c r="AB23" s="12">
        <v>93</v>
      </c>
      <c r="AC23" s="12">
        <v>336</v>
      </c>
    </row>
    <row r="24" ht="18.75" spans="1:29">
      <c r="A24" s="9" t="s">
        <v>476</v>
      </c>
      <c r="B24" s="9">
        <v>70</v>
      </c>
      <c r="C24" s="9">
        <v>90</v>
      </c>
      <c r="D24" s="9">
        <v>38</v>
      </c>
      <c r="E24" s="9">
        <v>50</v>
      </c>
      <c r="F24" s="9">
        <v>48</v>
      </c>
      <c r="G24" s="9">
        <v>98</v>
      </c>
      <c r="H24" s="9">
        <v>296</v>
      </c>
      <c r="I24" s="12">
        <v>74</v>
      </c>
      <c r="J24" s="12">
        <v>88</v>
      </c>
      <c r="K24" s="12">
        <v>73</v>
      </c>
      <c r="L24" s="12">
        <v>74</v>
      </c>
      <c r="M24" s="12">
        <v>49</v>
      </c>
      <c r="N24" s="12">
        <v>123</v>
      </c>
      <c r="O24" s="12">
        <v>358</v>
      </c>
      <c r="P24" s="12">
        <v>70</v>
      </c>
      <c r="Q24" s="12">
        <v>84</v>
      </c>
      <c r="R24" s="12">
        <v>72</v>
      </c>
      <c r="S24" s="12">
        <v>72</v>
      </c>
      <c r="T24" s="12">
        <v>52</v>
      </c>
      <c r="U24" s="12">
        <v>124</v>
      </c>
      <c r="V24" s="13">
        <v>350</v>
      </c>
      <c r="W24" s="12">
        <v>76</v>
      </c>
      <c r="X24" s="12">
        <v>88</v>
      </c>
      <c r="Y24" s="12">
        <v>58</v>
      </c>
      <c r="Z24" s="12">
        <v>70</v>
      </c>
      <c r="AA24" s="12">
        <v>55</v>
      </c>
      <c r="AB24" s="12">
        <v>125</v>
      </c>
      <c r="AC24" s="12">
        <v>347</v>
      </c>
    </row>
    <row r="25" ht="18.75" spans="1:29">
      <c r="A25" s="9" t="s">
        <v>477</v>
      </c>
      <c r="B25" s="9">
        <v>86</v>
      </c>
      <c r="C25" s="9">
        <v>89</v>
      </c>
      <c r="D25" s="9">
        <v>64</v>
      </c>
      <c r="E25" s="9">
        <v>72</v>
      </c>
      <c r="F25" s="9">
        <v>46</v>
      </c>
      <c r="G25" s="9">
        <v>118</v>
      </c>
      <c r="H25" s="9">
        <v>357</v>
      </c>
      <c r="I25" s="12">
        <v>70</v>
      </c>
      <c r="J25" s="12">
        <v>99</v>
      </c>
      <c r="K25" s="12">
        <v>65</v>
      </c>
      <c r="L25" s="12">
        <v>54</v>
      </c>
      <c r="M25" s="12">
        <v>35</v>
      </c>
      <c r="N25" s="12">
        <v>89</v>
      </c>
      <c r="O25" s="12">
        <v>323</v>
      </c>
      <c r="P25" s="12">
        <v>72</v>
      </c>
      <c r="Q25" s="12">
        <v>95</v>
      </c>
      <c r="R25" s="12">
        <v>69</v>
      </c>
      <c r="S25" s="12">
        <v>68</v>
      </c>
      <c r="T25" s="12">
        <v>38</v>
      </c>
      <c r="U25" s="12">
        <v>106</v>
      </c>
      <c r="V25" s="13">
        <v>342</v>
      </c>
      <c r="W25" s="12">
        <v>90</v>
      </c>
      <c r="X25" s="12">
        <v>92</v>
      </c>
      <c r="Y25" s="12">
        <v>71</v>
      </c>
      <c r="Z25" s="12">
        <v>66</v>
      </c>
      <c r="AA25" s="12">
        <v>46</v>
      </c>
      <c r="AB25" s="12">
        <v>112</v>
      </c>
      <c r="AC25" s="12">
        <v>365</v>
      </c>
    </row>
    <row r="26" ht="18.75" spans="1:29">
      <c r="A26" s="9" t="s">
        <v>478</v>
      </c>
      <c r="B26" s="9">
        <v>62</v>
      </c>
      <c r="C26" s="9">
        <v>80</v>
      </c>
      <c r="D26" s="9">
        <v>72</v>
      </c>
      <c r="E26" s="9">
        <v>68</v>
      </c>
      <c r="F26" s="9">
        <v>34</v>
      </c>
      <c r="G26" s="9">
        <v>102</v>
      </c>
      <c r="H26" s="9">
        <v>316</v>
      </c>
      <c r="I26" s="12">
        <v>70</v>
      </c>
      <c r="J26" s="12">
        <v>89</v>
      </c>
      <c r="K26" s="12">
        <v>65</v>
      </c>
      <c r="L26" s="12">
        <v>62</v>
      </c>
      <c r="M26" s="12">
        <v>26</v>
      </c>
      <c r="N26" s="12">
        <v>88</v>
      </c>
      <c r="O26" s="12">
        <v>312</v>
      </c>
      <c r="P26" s="12">
        <v>64</v>
      </c>
      <c r="Q26" s="12">
        <v>87</v>
      </c>
      <c r="R26" s="12">
        <v>72</v>
      </c>
      <c r="S26" s="12">
        <v>56</v>
      </c>
      <c r="T26" s="12">
        <v>37</v>
      </c>
      <c r="U26" s="12">
        <v>93</v>
      </c>
      <c r="V26" s="13">
        <v>316</v>
      </c>
      <c r="W26" s="12">
        <v>72</v>
      </c>
      <c r="X26" s="12">
        <v>87</v>
      </c>
      <c r="Y26" s="12">
        <v>67</v>
      </c>
      <c r="Z26" s="12">
        <v>64</v>
      </c>
      <c r="AA26" s="12">
        <v>21</v>
      </c>
      <c r="AB26" s="12">
        <v>85</v>
      </c>
      <c r="AC26" s="12">
        <v>311</v>
      </c>
    </row>
    <row r="27" ht="18.75" spans="1:29">
      <c r="A27" s="9" t="s">
        <v>479</v>
      </c>
      <c r="B27" s="9">
        <v>86</v>
      </c>
      <c r="C27" s="9">
        <v>58</v>
      </c>
      <c r="D27" s="9">
        <v>83</v>
      </c>
      <c r="E27" s="9">
        <v>64</v>
      </c>
      <c r="F27" s="9">
        <v>38</v>
      </c>
      <c r="G27" s="9">
        <v>102</v>
      </c>
      <c r="H27" s="9">
        <v>329</v>
      </c>
      <c r="I27" s="12">
        <v>82</v>
      </c>
      <c r="J27" s="12">
        <v>75</v>
      </c>
      <c r="K27" s="12">
        <v>85</v>
      </c>
      <c r="L27" s="12">
        <v>80</v>
      </c>
      <c r="M27" s="12">
        <v>33</v>
      </c>
      <c r="N27" s="12">
        <v>113</v>
      </c>
      <c r="O27" s="12">
        <v>355</v>
      </c>
      <c r="P27" s="12">
        <v>78</v>
      </c>
      <c r="Q27" s="12">
        <v>77</v>
      </c>
      <c r="R27" s="12">
        <v>79</v>
      </c>
      <c r="S27" s="12">
        <v>78</v>
      </c>
      <c r="T27" s="12">
        <v>30</v>
      </c>
      <c r="U27" s="12">
        <v>108</v>
      </c>
      <c r="V27" s="13">
        <v>342</v>
      </c>
      <c r="W27" s="12">
        <v>84</v>
      </c>
      <c r="X27" s="12">
        <v>90</v>
      </c>
      <c r="Y27" s="12">
        <v>75</v>
      </c>
      <c r="Z27" s="12">
        <v>58</v>
      </c>
      <c r="AA27" s="12">
        <v>26</v>
      </c>
      <c r="AB27" s="12">
        <v>84</v>
      </c>
      <c r="AC27" s="12">
        <v>333</v>
      </c>
    </row>
    <row r="28" ht="18.75" spans="1:29">
      <c r="A28" s="9" t="s">
        <v>480</v>
      </c>
      <c r="B28" s="9">
        <v>82</v>
      </c>
      <c r="C28" s="9">
        <v>97</v>
      </c>
      <c r="D28" s="9">
        <v>96</v>
      </c>
      <c r="E28" s="9">
        <v>60</v>
      </c>
      <c r="F28" s="9">
        <v>57</v>
      </c>
      <c r="G28" s="9">
        <v>117</v>
      </c>
      <c r="H28" s="9">
        <v>392</v>
      </c>
      <c r="I28" s="12">
        <v>76</v>
      </c>
      <c r="J28" s="12">
        <v>94</v>
      </c>
      <c r="K28" s="12">
        <v>94</v>
      </c>
      <c r="L28" s="12">
        <v>70</v>
      </c>
      <c r="M28" s="12">
        <v>36</v>
      </c>
      <c r="N28" s="12">
        <v>106</v>
      </c>
      <c r="O28" s="12">
        <v>370</v>
      </c>
      <c r="P28" s="12" t="s">
        <v>14</v>
      </c>
      <c r="Q28" s="12" t="s">
        <v>14</v>
      </c>
      <c r="R28" s="12" t="s">
        <v>14</v>
      </c>
      <c r="S28" s="12" t="s">
        <v>14</v>
      </c>
      <c r="T28" s="12" t="s">
        <v>14</v>
      </c>
      <c r="U28" s="12" t="s">
        <v>14</v>
      </c>
      <c r="V28" s="13" t="s">
        <v>14</v>
      </c>
      <c r="W28" s="12">
        <v>86</v>
      </c>
      <c r="X28" s="12">
        <v>85</v>
      </c>
      <c r="Y28" s="12">
        <v>94</v>
      </c>
      <c r="Z28" s="12">
        <v>70</v>
      </c>
      <c r="AA28" s="12">
        <v>27</v>
      </c>
      <c r="AB28" s="12">
        <v>97</v>
      </c>
      <c r="AC28" s="12">
        <v>362</v>
      </c>
    </row>
    <row r="29" ht="18.75" spans="1:29">
      <c r="A29" s="9" t="s">
        <v>481</v>
      </c>
      <c r="B29" s="9" t="s">
        <v>14</v>
      </c>
      <c r="C29" s="9" t="s">
        <v>14</v>
      </c>
      <c r="D29" s="9" t="s">
        <v>14</v>
      </c>
      <c r="E29" s="9" t="s">
        <v>14</v>
      </c>
      <c r="F29" s="9" t="s">
        <v>14</v>
      </c>
      <c r="G29" s="9" t="s">
        <v>14</v>
      </c>
      <c r="H29" s="9" t="s">
        <v>14</v>
      </c>
      <c r="I29" s="12">
        <v>64</v>
      </c>
      <c r="J29" s="12">
        <v>72</v>
      </c>
      <c r="K29" s="12">
        <v>88</v>
      </c>
      <c r="L29" s="12">
        <v>80</v>
      </c>
      <c r="M29" s="12">
        <v>30</v>
      </c>
      <c r="N29" s="12">
        <v>110</v>
      </c>
      <c r="O29" s="12">
        <v>334</v>
      </c>
      <c r="P29" s="12" t="s">
        <v>14</v>
      </c>
      <c r="Q29" s="12" t="s">
        <v>14</v>
      </c>
      <c r="R29" s="12" t="s">
        <v>14</v>
      </c>
      <c r="S29" s="12" t="s">
        <v>14</v>
      </c>
      <c r="T29" s="12" t="s">
        <v>14</v>
      </c>
      <c r="U29" s="12" t="s">
        <v>14</v>
      </c>
      <c r="V29" s="13" t="s">
        <v>14</v>
      </c>
      <c r="W29" s="12" t="s">
        <v>14</v>
      </c>
      <c r="X29" s="12" t="s">
        <v>14</v>
      </c>
      <c r="Y29" s="12" t="s">
        <v>14</v>
      </c>
      <c r="Z29" s="12" t="s">
        <v>14</v>
      </c>
      <c r="AA29" s="12" t="s">
        <v>14</v>
      </c>
      <c r="AB29" s="12" t="s">
        <v>14</v>
      </c>
      <c r="AC29" s="12" t="s">
        <v>14</v>
      </c>
    </row>
    <row r="30" ht="18.75" spans="1:29">
      <c r="A30" s="9" t="s">
        <v>482</v>
      </c>
      <c r="B30" s="9" t="s">
        <v>14</v>
      </c>
      <c r="C30" s="9" t="s">
        <v>14</v>
      </c>
      <c r="D30" s="9" t="s">
        <v>14</v>
      </c>
      <c r="E30" s="9" t="s">
        <v>14</v>
      </c>
      <c r="F30" s="9" t="s">
        <v>14</v>
      </c>
      <c r="G30" s="9" t="s">
        <v>14</v>
      </c>
      <c r="H30" s="9" t="s">
        <v>14</v>
      </c>
      <c r="I30" s="12">
        <v>50</v>
      </c>
      <c r="J30" s="12">
        <v>72</v>
      </c>
      <c r="K30" s="12">
        <v>50</v>
      </c>
      <c r="L30" s="12">
        <v>46</v>
      </c>
      <c r="M30" s="12">
        <v>12</v>
      </c>
      <c r="N30" s="12">
        <v>58</v>
      </c>
      <c r="O30" s="12">
        <v>230</v>
      </c>
      <c r="P30" s="12">
        <v>58</v>
      </c>
      <c r="Q30" s="12">
        <v>68</v>
      </c>
      <c r="R30" s="12">
        <v>66</v>
      </c>
      <c r="S30" s="12">
        <v>62</v>
      </c>
      <c r="T30" s="12">
        <v>30</v>
      </c>
      <c r="U30" s="12">
        <v>92</v>
      </c>
      <c r="V30" s="13">
        <v>284</v>
      </c>
      <c r="W30" s="12">
        <v>76</v>
      </c>
      <c r="X30" s="12">
        <v>78</v>
      </c>
      <c r="Y30" s="12">
        <v>68</v>
      </c>
      <c r="Z30" s="12">
        <v>58</v>
      </c>
      <c r="AA30" s="12">
        <v>24</v>
      </c>
      <c r="AB30" s="12">
        <v>82</v>
      </c>
      <c r="AC30" s="12">
        <v>304</v>
      </c>
    </row>
    <row r="31" ht="18.75" spans="1:29">
      <c r="A31" s="9" t="s">
        <v>483</v>
      </c>
      <c r="B31" s="9">
        <v>80</v>
      </c>
      <c r="C31" s="9">
        <v>55</v>
      </c>
      <c r="D31" s="9">
        <v>72</v>
      </c>
      <c r="E31" s="9">
        <v>52</v>
      </c>
      <c r="F31" s="9">
        <v>41</v>
      </c>
      <c r="G31" s="9">
        <v>93</v>
      </c>
      <c r="H31" s="9">
        <v>300</v>
      </c>
      <c r="I31" s="12">
        <v>70</v>
      </c>
      <c r="J31" s="12">
        <v>79</v>
      </c>
      <c r="K31" s="12">
        <v>76</v>
      </c>
      <c r="L31" s="12">
        <v>68</v>
      </c>
      <c r="M31" s="12">
        <v>24</v>
      </c>
      <c r="N31" s="12">
        <v>92</v>
      </c>
      <c r="O31" s="12">
        <v>317</v>
      </c>
      <c r="P31" s="12" t="s">
        <v>14</v>
      </c>
      <c r="Q31" s="12" t="s">
        <v>14</v>
      </c>
      <c r="R31" s="12" t="s">
        <v>14</v>
      </c>
      <c r="S31" s="12" t="s">
        <v>14</v>
      </c>
      <c r="T31" s="12" t="s">
        <v>14</v>
      </c>
      <c r="U31" s="12" t="s">
        <v>14</v>
      </c>
      <c r="V31" s="13" t="s">
        <v>14</v>
      </c>
      <c r="W31" s="12">
        <v>80</v>
      </c>
      <c r="X31" s="12">
        <v>70</v>
      </c>
      <c r="Y31" s="12">
        <v>57</v>
      </c>
      <c r="Z31" s="12">
        <v>56</v>
      </c>
      <c r="AA31" s="12">
        <v>38</v>
      </c>
      <c r="AB31" s="12">
        <v>94</v>
      </c>
      <c r="AC31" s="12">
        <v>301</v>
      </c>
    </row>
    <row r="32" ht="18.75" spans="1:29">
      <c r="A32" s="9" t="s">
        <v>484</v>
      </c>
      <c r="B32" s="9">
        <v>76</v>
      </c>
      <c r="C32" s="9">
        <v>86</v>
      </c>
      <c r="D32" s="9">
        <v>86</v>
      </c>
      <c r="E32" s="9">
        <v>84</v>
      </c>
      <c r="F32" s="9">
        <v>57</v>
      </c>
      <c r="G32" s="9">
        <v>141</v>
      </c>
      <c r="H32" s="9">
        <v>389</v>
      </c>
      <c r="I32" s="12">
        <v>70</v>
      </c>
      <c r="J32" s="12">
        <v>94</v>
      </c>
      <c r="K32" s="12">
        <v>84</v>
      </c>
      <c r="L32" s="12">
        <v>60</v>
      </c>
      <c r="M32" s="12">
        <v>32</v>
      </c>
      <c r="N32" s="12">
        <v>92</v>
      </c>
      <c r="O32" s="12">
        <v>340</v>
      </c>
      <c r="P32" s="12">
        <v>90</v>
      </c>
      <c r="Q32" s="12">
        <v>76</v>
      </c>
      <c r="R32" s="12">
        <v>90</v>
      </c>
      <c r="S32" s="12">
        <v>62</v>
      </c>
      <c r="T32" s="12">
        <v>39</v>
      </c>
      <c r="U32" s="12">
        <v>101</v>
      </c>
      <c r="V32" s="13">
        <v>357</v>
      </c>
      <c r="W32" s="12">
        <v>80</v>
      </c>
      <c r="X32" s="12">
        <v>96</v>
      </c>
      <c r="Y32" s="12">
        <v>85</v>
      </c>
      <c r="Z32" s="12">
        <v>68</v>
      </c>
      <c r="AA32" s="12">
        <v>36</v>
      </c>
      <c r="AB32" s="12">
        <v>104</v>
      </c>
      <c r="AC32" s="12">
        <v>365</v>
      </c>
    </row>
    <row r="33" ht="18.75" spans="1:29">
      <c r="A33" s="9" t="s">
        <v>485</v>
      </c>
      <c r="B33" s="9">
        <v>78</v>
      </c>
      <c r="C33" s="9">
        <v>69</v>
      </c>
      <c r="D33" s="9">
        <v>82</v>
      </c>
      <c r="E33" s="9">
        <v>64</v>
      </c>
      <c r="F33" s="9">
        <v>54</v>
      </c>
      <c r="G33" s="9">
        <v>118</v>
      </c>
      <c r="H33" s="9">
        <v>347</v>
      </c>
      <c r="I33" s="12">
        <v>64</v>
      </c>
      <c r="J33" s="12">
        <v>87</v>
      </c>
      <c r="K33" s="12">
        <v>88</v>
      </c>
      <c r="L33" s="12">
        <v>80</v>
      </c>
      <c r="M33" s="12">
        <v>43</v>
      </c>
      <c r="N33" s="12">
        <v>123</v>
      </c>
      <c r="O33" s="12">
        <v>362</v>
      </c>
      <c r="P33" s="12">
        <v>74</v>
      </c>
      <c r="Q33" s="12">
        <v>70</v>
      </c>
      <c r="R33" s="12">
        <v>82</v>
      </c>
      <c r="S33" s="12">
        <v>82</v>
      </c>
      <c r="T33" s="12">
        <v>44</v>
      </c>
      <c r="U33" s="12">
        <v>126</v>
      </c>
      <c r="V33" s="13">
        <v>352</v>
      </c>
      <c r="W33" s="12">
        <v>80</v>
      </c>
      <c r="X33" s="12">
        <v>94</v>
      </c>
      <c r="Y33" s="12">
        <v>84</v>
      </c>
      <c r="Z33" s="12">
        <v>70</v>
      </c>
      <c r="AA33" s="12">
        <v>39</v>
      </c>
      <c r="AB33" s="12">
        <v>109</v>
      </c>
      <c r="AC33" s="12">
        <v>367</v>
      </c>
    </row>
    <row r="34" ht="18.75" spans="1:29">
      <c r="A34" s="9" t="s">
        <v>486</v>
      </c>
      <c r="B34" s="9">
        <v>88</v>
      </c>
      <c r="C34" s="9">
        <v>87</v>
      </c>
      <c r="D34" s="9">
        <v>89</v>
      </c>
      <c r="E34" s="9">
        <v>58</v>
      </c>
      <c r="F34" s="9">
        <v>54</v>
      </c>
      <c r="G34" s="9">
        <v>112</v>
      </c>
      <c r="H34" s="9">
        <v>376</v>
      </c>
      <c r="I34" s="12">
        <v>80</v>
      </c>
      <c r="J34" s="12">
        <v>74</v>
      </c>
      <c r="K34" s="12">
        <v>90</v>
      </c>
      <c r="L34" s="12">
        <v>78</v>
      </c>
      <c r="M34" s="12">
        <v>44</v>
      </c>
      <c r="N34" s="12">
        <v>122</v>
      </c>
      <c r="O34" s="12">
        <v>366</v>
      </c>
      <c r="P34" s="12">
        <v>86</v>
      </c>
      <c r="Q34" s="12">
        <v>77</v>
      </c>
      <c r="R34" s="12">
        <v>77</v>
      </c>
      <c r="S34" s="12">
        <v>74</v>
      </c>
      <c r="T34" s="12">
        <v>40</v>
      </c>
      <c r="U34" s="12">
        <v>114</v>
      </c>
      <c r="V34" s="13">
        <v>354</v>
      </c>
      <c r="W34" s="12">
        <v>84</v>
      </c>
      <c r="X34" s="12">
        <v>81</v>
      </c>
      <c r="Y34" s="12">
        <v>86</v>
      </c>
      <c r="Z34" s="12">
        <v>70</v>
      </c>
      <c r="AA34" s="12">
        <v>39</v>
      </c>
      <c r="AB34" s="12">
        <v>109</v>
      </c>
      <c r="AC34" s="12">
        <v>360</v>
      </c>
    </row>
    <row r="35" ht="18.75" spans="1:29">
      <c r="A35" s="9" t="s">
        <v>487</v>
      </c>
      <c r="B35" s="9">
        <v>88</v>
      </c>
      <c r="C35" s="9">
        <v>84</v>
      </c>
      <c r="D35" s="9">
        <v>81</v>
      </c>
      <c r="E35" s="9">
        <v>58</v>
      </c>
      <c r="F35" s="9">
        <v>54</v>
      </c>
      <c r="G35" s="9">
        <v>112</v>
      </c>
      <c r="H35" s="9">
        <v>365</v>
      </c>
      <c r="I35" s="12">
        <v>80</v>
      </c>
      <c r="J35" s="12">
        <v>74</v>
      </c>
      <c r="K35" s="12">
        <v>92</v>
      </c>
      <c r="L35" s="12">
        <v>78</v>
      </c>
      <c r="M35" s="12">
        <v>44</v>
      </c>
      <c r="N35" s="12">
        <v>122</v>
      </c>
      <c r="O35" s="12">
        <v>368</v>
      </c>
      <c r="P35" s="12">
        <v>94</v>
      </c>
      <c r="Q35" s="12">
        <v>81</v>
      </c>
      <c r="R35" s="12">
        <v>77</v>
      </c>
      <c r="S35" s="12">
        <v>78</v>
      </c>
      <c r="T35" s="12">
        <v>38</v>
      </c>
      <c r="U35" s="12">
        <v>116</v>
      </c>
      <c r="V35" s="13">
        <v>368</v>
      </c>
      <c r="W35" s="12">
        <v>90</v>
      </c>
      <c r="X35" s="12">
        <v>73</v>
      </c>
      <c r="Y35" s="12">
        <v>89</v>
      </c>
      <c r="Z35" s="12">
        <v>70</v>
      </c>
      <c r="AA35" s="12">
        <v>36</v>
      </c>
      <c r="AB35" s="12">
        <v>106</v>
      </c>
      <c r="AC35" s="12">
        <v>358</v>
      </c>
    </row>
    <row r="36" ht="18.75" spans="1:29">
      <c r="A36" s="9" t="s">
        <v>488</v>
      </c>
      <c r="B36" s="9">
        <v>88</v>
      </c>
      <c r="C36" s="9">
        <v>77</v>
      </c>
      <c r="D36" s="9">
        <v>76</v>
      </c>
      <c r="E36" s="9">
        <v>58</v>
      </c>
      <c r="F36" s="9">
        <v>46</v>
      </c>
      <c r="G36" s="9">
        <v>104</v>
      </c>
      <c r="H36" s="9">
        <v>345</v>
      </c>
      <c r="I36" s="12">
        <v>74</v>
      </c>
      <c r="J36" s="12">
        <v>84</v>
      </c>
      <c r="K36" s="12">
        <v>84</v>
      </c>
      <c r="L36" s="12">
        <v>78</v>
      </c>
      <c r="M36" s="12">
        <v>44</v>
      </c>
      <c r="N36" s="12">
        <v>122</v>
      </c>
      <c r="O36" s="12">
        <v>364</v>
      </c>
      <c r="P36" s="12">
        <v>72</v>
      </c>
      <c r="Q36" s="12">
        <v>66</v>
      </c>
      <c r="R36" s="12">
        <v>63</v>
      </c>
      <c r="S36" s="12">
        <v>66</v>
      </c>
      <c r="T36" s="12">
        <v>32</v>
      </c>
      <c r="U36" s="12">
        <v>98</v>
      </c>
      <c r="V36" s="13">
        <v>299</v>
      </c>
      <c r="W36" s="12">
        <v>72</v>
      </c>
      <c r="X36" s="12">
        <v>79</v>
      </c>
      <c r="Y36" s="12">
        <v>85</v>
      </c>
      <c r="Z36" s="12">
        <v>64</v>
      </c>
      <c r="AA36" s="12">
        <v>24</v>
      </c>
      <c r="AB36" s="12">
        <v>88</v>
      </c>
      <c r="AC36" s="12">
        <v>324</v>
      </c>
    </row>
    <row r="37" ht="18.75" spans="1:29">
      <c r="A37" s="9" t="s">
        <v>489</v>
      </c>
      <c r="B37" s="9">
        <v>62</v>
      </c>
      <c r="C37" s="9">
        <v>59</v>
      </c>
      <c r="D37" s="9">
        <v>32</v>
      </c>
      <c r="E37" s="9">
        <v>58</v>
      </c>
      <c r="F37" s="9">
        <v>43</v>
      </c>
      <c r="G37" s="9">
        <v>101</v>
      </c>
      <c r="H37" s="9">
        <v>254</v>
      </c>
      <c r="I37" s="12">
        <v>62</v>
      </c>
      <c r="J37" s="12">
        <v>52</v>
      </c>
      <c r="K37" s="12">
        <v>35</v>
      </c>
      <c r="L37" s="12">
        <v>56</v>
      </c>
      <c r="M37" s="12">
        <v>18</v>
      </c>
      <c r="N37" s="12">
        <v>74</v>
      </c>
      <c r="O37" s="12">
        <v>223</v>
      </c>
      <c r="P37" s="12">
        <v>58</v>
      </c>
      <c r="Q37" s="12">
        <v>52</v>
      </c>
      <c r="R37" s="12">
        <v>35</v>
      </c>
      <c r="S37" s="12">
        <v>62</v>
      </c>
      <c r="T37" s="12">
        <v>35</v>
      </c>
      <c r="U37" s="12">
        <v>97</v>
      </c>
      <c r="V37" s="13">
        <v>242</v>
      </c>
      <c r="W37" s="12">
        <v>72</v>
      </c>
      <c r="X37" s="12">
        <v>85</v>
      </c>
      <c r="Y37" s="12">
        <v>38</v>
      </c>
      <c r="Z37" s="12">
        <v>56</v>
      </c>
      <c r="AA37" s="12">
        <v>27</v>
      </c>
      <c r="AB37" s="12">
        <v>83</v>
      </c>
      <c r="AC37" s="12">
        <v>278</v>
      </c>
    </row>
    <row r="38" ht="18.75" spans="1:29">
      <c r="A38" s="9" t="s">
        <v>490</v>
      </c>
      <c r="B38" s="9">
        <v>88</v>
      </c>
      <c r="C38" s="9">
        <v>89</v>
      </c>
      <c r="D38" s="9">
        <v>86</v>
      </c>
      <c r="E38" s="9">
        <v>60</v>
      </c>
      <c r="F38" s="9">
        <v>46</v>
      </c>
      <c r="G38" s="9">
        <v>106</v>
      </c>
      <c r="H38" s="9">
        <v>369</v>
      </c>
      <c r="I38" s="12">
        <v>86</v>
      </c>
      <c r="J38" s="12">
        <v>88</v>
      </c>
      <c r="K38" s="12">
        <v>86</v>
      </c>
      <c r="L38" s="12">
        <v>68</v>
      </c>
      <c r="M38" s="12">
        <v>30</v>
      </c>
      <c r="N38" s="12">
        <v>98</v>
      </c>
      <c r="O38" s="12">
        <v>358</v>
      </c>
      <c r="P38" s="12">
        <v>90</v>
      </c>
      <c r="Q38" s="12">
        <v>88</v>
      </c>
      <c r="R38" s="12">
        <v>86</v>
      </c>
      <c r="S38" s="12">
        <v>74</v>
      </c>
      <c r="T38" s="12">
        <v>47</v>
      </c>
      <c r="U38" s="12">
        <v>121</v>
      </c>
      <c r="V38" s="13">
        <v>385</v>
      </c>
      <c r="W38" s="12">
        <v>94</v>
      </c>
      <c r="X38" s="12">
        <v>83</v>
      </c>
      <c r="Y38" s="12">
        <v>80</v>
      </c>
      <c r="Z38" s="12">
        <v>70</v>
      </c>
      <c r="AA38" s="12">
        <v>24</v>
      </c>
      <c r="AB38" s="12">
        <v>94</v>
      </c>
      <c r="AC38" s="12">
        <v>351</v>
      </c>
    </row>
    <row r="39" ht="18.75" spans="1:29">
      <c r="A39" s="9" t="s">
        <v>491</v>
      </c>
      <c r="B39" s="9" t="s">
        <v>14</v>
      </c>
      <c r="C39" s="9" t="s">
        <v>14</v>
      </c>
      <c r="D39" s="9" t="s">
        <v>14</v>
      </c>
      <c r="E39" s="9" t="s">
        <v>14</v>
      </c>
      <c r="F39" s="9" t="s">
        <v>14</v>
      </c>
      <c r="G39" s="9" t="s">
        <v>14</v>
      </c>
      <c r="H39" s="9" t="s">
        <v>14</v>
      </c>
      <c r="I39" s="12">
        <v>54</v>
      </c>
      <c r="J39" s="12">
        <v>93</v>
      </c>
      <c r="K39" s="12">
        <v>77</v>
      </c>
      <c r="L39" s="12">
        <v>60</v>
      </c>
      <c r="M39" s="12">
        <v>32</v>
      </c>
      <c r="N39" s="12">
        <v>92</v>
      </c>
      <c r="O39" s="12">
        <v>316</v>
      </c>
      <c r="P39" s="12">
        <v>70</v>
      </c>
      <c r="Q39" s="12">
        <v>78</v>
      </c>
      <c r="R39" s="12">
        <v>75</v>
      </c>
      <c r="S39" s="12">
        <v>60</v>
      </c>
      <c r="T39" s="12">
        <v>30</v>
      </c>
      <c r="U39" s="12">
        <v>90</v>
      </c>
      <c r="V39" s="13">
        <v>313</v>
      </c>
      <c r="W39" s="12">
        <v>70</v>
      </c>
      <c r="X39" s="12">
        <v>81</v>
      </c>
      <c r="Y39" s="12">
        <v>66</v>
      </c>
      <c r="Z39" s="12">
        <v>56</v>
      </c>
      <c r="AA39" s="12">
        <v>39</v>
      </c>
      <c r="AB39" s="12">
        <v>95</v>
      </c>
      <c r="AC39" s="12">
        <v>312</v>
      </c>
    </row>
    <row r="40" ht="18.75" spans="1:29">
      <c r="A40" s="9" t="s">
        <v>492</v>
      </c>
      <c r="B40" s="9" t="s">
        <v>14</v>
      </c>
      <c r="C40" s="9" t="s">
        <v>14</v>
      </c>
      <c r="D40" s="9" t="s">
        <v>14</v>
      </c>
      <c r="E40" s="9" t="s">
        <v>14</v>
      </c>
      <c r="F40" s="9" t="s">
        <v>14</v>
      </c>
      <c r="G40" s="9" t="s">
        <v>14</v>
      </c>
      <c r="H40" s="9" t="s">
        <v>14</v>
      </c>
      <c r="I40" s="12" t="s">
        <v>14</v>
      </c>
      <c r="J40" s="12" t="s">
        <v>14</v>
      </c>
      <c r="K40" s="12" t="s">
        <v>14</v>
      </c>
      <c r="L40" s="12" t="s">
        <v>14</v>
      </c>
      <c r="M40" s="12" t="s">
        <v>14</v>
      </c>
      <c r="N40" s="12" t="s">
        <v>14</v>
      </c>
      <c r="O40" s="12" t="s">
        <v>14</v>
      </c>
      <c r="P40" s="12" t="s">
        <v>14</v>
      </c>
      <c r="Q40" s="12" t="s">
        <v>14</v>
      </c>
      <c r="R40" s="12" t="s">
        <v>14</v>
      </c>
      <c r="S40" s="12" t="s">
        <v>14</v>
      </c>
      <c r="T40" s="12" t="s">
        <v>14</v>
      </c>
      <c r="U40" s="12" t="s">
        <v>14</v>
      </c>
      <c r="V40" s="13" t="s">
        <v>14</v>
      </c>
      <c r="W40" s="12" t="s">
        <v>14</v>
      </c>
      <c r="X40" s="12" t="s">
        <v>14</v>
      </c>
      <c r="Y40" s="12" t="s">
        <v>14</v>
      </c>
      <c r="Z40" s="12" t="s">
        <v>14</v>
      </c>
      <c r="AA40" s="12" t="s">
        <v>14</v>
      </c>
      <c r="AB40" s="12" t="s">
        <v>14</v>
      </c>
      <c r="AC40" s="12" t="s">
        <v>14</v>
      </c>
    </row>
    <row r="41" ht="18.75" spans="1:29">
      <c r="A41" s="9" t="s">
        <v>493</v>
      </c>
      <c r="B41" s="9" t="s">
        <v>14</v>
      </c>
      <c r="C41" s="9" t="s">
        <v>14</v>
      </c>
      <c r="D41" s="9" t="s">
        <v>14</v>
      </c>
      <c r="E41" s="9" t="s">
        <v>14</v>
      </c>
      <c r="F41" s="9" t="s">
        <v>14</v>
      </c>
      <c r="G41" s="9" t="s">
        <v>14</v>
      </c>
      <c r="H41" s="9" t="s">
        <v>14</v>
      </c>
      <c r="I41" s="12">
        <v>66</v>
      </c>
      <c r="J41" s="12">
        <v>93</v>
      </c>
      <c r="K41" s="12">
        <v>63</v>
      </c>
      <c r="L41" s="12">
        <v>70</v>
      </c>
      <c r="M41" s="12">
        <v>43</v>
      </c>
      <c r="N41" s="12">
        <v>113</v>
      </c>
      <c r="O41" s="12">
        <v>335</v>
      </c>
      <c r="P41" s="12">
        <v>70</v>
      </c>
      <c r="Q41" s="12">
        <v>85</v>
      </c>
      <c r="R41" s="12">
        <v>47</v>
      </c>
      <c r="S41" s="12">
        <v>70</v>
      </c>
      <c r="T41" s="12">
        <v>30</v>
      </c>
      <c r="U41" s="12">
        <v>100</v>
      </c>
      <c r="V41" s="13">
        <v>302</v>
      </c>
      <c r="W41" s="12">
        <v>76</v>
      </c>
      <c r="X41" s="12">
        <v>92</v>
      </c>
      <c r="Y41" s="12">
        <v>62</v>
      </c>
      <c r="Z41" s="12">
        <v>56</v>
      </c>
      <c r="AA41" s="12">
        <v>39</v>
      </c>
      <c r="AB41" s="12">
        <v>95</v>
      </c>
      <c r="AC41" s="12">
        <v>325</v>
      </c>
    </row>
    <row r="42" ht="18.75" spans="1:29">
      <c r="A42" s="9" t="s">
        <v>494</v>
      </c>
      <c r="B42" s="3"/>
      <c r="C42" s="3"/>
      <c r="D42" s="3"/>
      <c r="E42" s="3"/>
      <c r="F42" s="3"/>
      <c r="G42" s="3"/>
      <c r="H42" s="3"/>
      <c r="I42" s="12">
        <v>56</v>
      </c>
      <c r="J42" s="12">
        <v>81</v>
      </c>
      <c r="K42" s="12">
        <v>87</v>
      </c>
      <c r="L42" s="12">
        <v>50</v>
      </c>
      <c r="M42" s="12">
        <v>43</v>
      </c>
      <c r="N42" s="12">
        <v>93</v>
      </c>
      <c r="O42" s="12">
        <v>317</v>
      </c>
      <c r="P42" s="12">
        <v>76</v>
      </c>
      <c r="Q42" s="12">
        <v>74</v>
      </c>
      <c r="R42" s="12">
        <v>89</v>
      </c>
      <c r="S42" s="12">
        <v>58</v>
      </c>
      <c r="T42" s="12">
        <v>30</v>
      </c>
      <c r="U42" s="12">
        <v>88</v>
      </c>
      <c r="V42" s="13">
        <v>327</v>
      </c>
      <c r="W42" s="12">
        <v>80</v>
      </c>
      <c r="X42" s="12">
        <v>86</v>
      </c>
      <c r="Y42" s="12">
        <v>84</v>
      </c>
      <c r="Z42" s="12">
        <v>68</v>
      </c>
      <c r="AA42" s="12">
        <v>23</v>
      </c>
      <c r="AB42" s="12">
        <v>91</v>
      </c>
      <c r="AC42" s="12">
        <v>341</v>
      </c>
    </row>
    <row r="43" ht="18.75" spans="1:29">
      <c r="A43" s="9" t="s">
        <v>495</v>
      </c>
      <c r="B43" s="3"/>
      <c r="C43" s="3"/>
      <c r="D43" s="3"/>
      <c r="E43" s="3"/>
      <c r="F43" s="3"/>
      <c r="G43" s="3"/>
      <c r="H43" s="3"/>
      <c r="I43" s="12">
        <v>84</v>
      </c>
      <c r="J43" s="12">
        <v>64</v>
      </c>
      <c r="K43" s="12">
        <v>53</v>
      </c>
      <c r="L43" s="12">
        <v>70</v>
      </c>
      <c r="M43" s="12">
        <v>40</v>
      </c>
      <c r="N43" s="12">
        <v>110</v>
      </c>
      <c r="O43" s="12">
        <v>311</v>
      </c>
      <c r="P43" s="12">
        <v>88</v>
      </c>
      <c r="Q43" s="12">
        <v>64</v>
      </c>
      <c r="R43" s="12">
        <v>72</v>
      </c>
      <c r="S43" s="12">
        <v>74</v>
      </c>
      <c r="T43" s="12">
        <v>43</v>
      </c>
      <c r="U43" s="12">
        <v>117</v>
      </c>
      <c r="V43" s="13">
        <v>341</v>
      </c>
      <c r="W43" s="12">
        <v>88</v>
      </c>
      <c r="X43" s="12">
        <v>89</v>
      </c>
      <c r="Y43" s="12">
        <v>80</v>
      </c>
      <c r="Z43" s="12">
        <v>70</v>
      </c>
      <c r="AA43" s="12">
        <v>30</v>
      </c>
      <c r="AB43" s="12">
        <v>100</v>
      </c>
      <c r="AC43" s="12">
        <v>357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H1"/>
    <mergeCell ref="I1:O1"/>
    <mergeCell ref="P1:V1"/>
    <mergeCell ref="W1:AC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一类</vt:lpstr>
      <vt:lpstr>二类1</vt:lpstr>
      <vt:lpstr>二类2</vt:lpstr>
      <vt:lpstr>三类1</vt:lpstr>
      <vt:lpstr>三类2</vt:lpstr>
      <vt:lpstr>三类3</vt:lpstr>
      <vt:lpstr>四类1</vt:lpstr>
      <vt:lpstr>四类2</vt:lpstr>
      <vt:lpstr>六类</vt:lpstr>
      <vt:lpstr>八类</vt:lpstr>
      <vt:lpstr>九类一</vt:lpstr>
      <vt:lpstr>九类二</vt:lpstr>
      <vt:lpstr>十类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张迪楠</cp:lastModifiedBy>
  <dcterms:created xsi:type="dcterms:W3CDTF">2026-10-05T10:10:00Z</dcterms:created>
  <dcterms:modified xsi:type="dcterms:W3CDTF">2026-08-31T10:00:15Z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7CD8A4AB10586BE4A9F97E6A433D3CFA_33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1</vt:i4>
  </property>
</Properties>
</file>